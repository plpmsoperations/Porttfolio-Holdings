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8_{6B10F6A6-7FA6-42CC-ABAD-EE76EFBD2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ue M" sheetId="3" r:id="rId1"/>
    <sheet name="NTDOP" sheetId="7" r:id="rId2"/>
    <sheet name="MidtoMega" sheetId="4" r:id="rId3"/>
    <sheet name="Founders" sheetId="8" r:id="rId4"/>
    <sheet name="India Growth" sheetId="9" r:id="rId5"/>
    <sheet name="Ethical" sheetId="5" r:id="rId6"/>
    <sheet name="_CIQHiddenCacheSheet" sheetId="18" state="veryHidden" r:id="rId7"/>
    <sheet name="Multifactor Equity" sheetId="11" r:id="rId8"/>
  </sheets>
  <definedNames>
    <definedName name="_xlnm._FilterDatabase" localSheetId="5" hidden="1">Ethical!$A$1:$C$21</definedName>
    <definedName name="_xlnm._FilterDatabase" localSheetId="3" hidden="1">Founders!$A$1:$C$28</definedName>
    <definedName name="_xlnm._FilterDatabase" localSheetId="4" hidden="1">'India Growth'!$A$1:$C$32</definedName>
    <definedName name="_xlnm._FilterDatabase" localSheetId="2" hidden="1">MidtoMega!$A$1:$C$25</definedName>
    <definedName name="_xlnm._FilterDatabase" localSheetId="7" hidden="1">'Multifactor Equity'!$A$1:$C$37</definedName>
    <definedName name="_xlnm._FilterDatabase" localSheetId="1" hidden="1">NTDOP!$A$1:$C$32</definedName>
    <definedName name="_xlnm._FilterDatabase" localSheetId="0" hidden="1">'Value M'!$A$1:$C$27</definedName>
    <definedName name="CIQWBGuid" hidden="1">"37752766-0fb0-42fe-88df-a47a5303e1c2"</definedName>
    <definedName name="CIQWBInfo" hidden="1">"{ ""CIQVersion"":""9.45.614.5792""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45392.4161342593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  <c r="F12" i="3" l="1"/>
  <c r="F9" i="5" l="1"/>
  <c r="F13" i="9"/>
  <c r="F14" i="8"/>
  <c r="F12" i="7"/>
</calcChain>
</file>

<file path=xl/sharedStrings.xml><?xml version="1.0" encoding="utf-8"?>
<sst xmlns="http://schemas.openxmlformats.org/spreadsheetml/2006/main" count="433" uniqueCount="221">
  <si>
    <t>ISIN</t>
  </si>
  <si>
    <t>Scrip Name</t>
  </si>
  <si>
    <t>(%) of Market value</t>
  </si>
  <si>
    <t>Sectors</t>
  </si>
  <si>
    <t>Sector Name</t>
  </si>
  <si>
    <t>Capital Goods</t>
  </si>
  <si>
    <t>Consumer Durables</t>
  </si>
  <si>
    <t>Financial Services</t>
  </si>
  <si>
    <t>Consumer Services</t>
  </si>
  <si>
    <t>Realty</t>
  </si>
  <si>
    <t>Chemicals</t>
  </si>
  <si>
    <t>Information Technology</t>
  </si>
  <si>
    <t>Fast Moving Consumer Goods</t>
  </si>
  <si>
    <t>Automobile and Auto Components</t>
  </si>
  <si>
    <t>Healthcare</t>
  </si>
  <si>
    <t>Cash &amp; Equivalents</t>
  </si>
  <si>
    <t>Oil, Gas &amp; Consumable Fuels</t>
  </si>
  <si>
    <t>Metals &amp; Mining</t>
  </si>
  <si>
    <t>Services</t>
  </si>
  <si>
    <t>Power</t>
  </si>
  <si>
    <t>Construction</t>
  </si>
  <si>
    <t>Forest Materials</t>
  </si>
  <si>
    <t>INE067A01029</t>
  </si>
  <si>
    <t>CG Power and Industrial Solutions Ltd.</t>
  </si>
  <si>
    <t>INE128X01021</t>
  </si>
  <si>
    <t>Archean Chemical Industries Ltd.</t>
  </si>
  <si>
    <t>INE257A01026</t>
  </si>
  <si>
    <t>Bharat Heavy Electricals Ltd.</t>
  </si>
  <si>
    <t>INE298A01020</t>
  </si>
  <si>
    <t>Cummins India Ltd.</t>
  </si>
  <si>
    <t>INE371P01015</t>
  </si>
  <si>
    <t>Amber Enterprises India Ltd.</t>
  </si>
  <si>
    <t>INE372A01015</t>
  </si>
  <si>
    <t>Apar Industries Ltd.</t>
  </si>
  <si>
    <t>INE472A01039</t>
  </si>
  <si>
    <t>Blue Star Ltd.</t>
  </si>
  <si>
    <t>INE669C01036</t>
  </si>
  <si>
    <t>Tech Mahindra Ltd.</t>
  </si>
  <si>
    <t>INE702C01027</t>
  </si>
  <si>
    <t>APL Apollo Tubes Ltd.</t>
  </si>
  <si>
    <t>INE726V01018</t>
  </si>
  <si>
    <t>Pricol Ltd.</t>
  </si>
  <si>
    <t>INE836A01035</t>
  </si>
  <si>
    <t>Birlasoft Ltd.</t>
  </si>
  <si>
    <t>INE158A01026</t>
  </si>
  <si>
    <t>Hero MotoCorp Ltd.</t>
  </si>
  <si>
    <t>INE457L01029</t>
  </si>
  <si>
    <t>PG Electroplast Ltd.</t>
  </si>
  <si>
    <t>INE716A01013</t>
  </si>
  <si>
    <t>Whirlpool of India Ltd.</t>
  </si>
  <si>
    <t>INE01QM01018</t>
  </si>
  <si>
    <t>eMudhra Ltd.</t>
  </si>
  <si>
    <t>INE040H01021</t>
  </si>
  <si>
    <t>Suzlon Energy Ltd.</t>
  </si>
  <si>
    <t>INE09N301011</t>
  </si>
  <si>
    <t>Gujarat Fluorochemicals Ltd.</t>
  </si>
  <si>
    <t>INE303R01014</t>
  </si>
  <si>
    <t>Kalyan Jewellers India Ltd.</t>
  </si>
  <si>
    <t>INE732I01013</t>
  </si>
  <si>
    <t>Angel One Ltd.</t>
  </si>
  <si>
    <t>INE758T01015</t>
  </si>
  <si>
    <t>Eternal Ltd.</t>
  </si>
  <si>
    <t>INE811K01011</t>
  </si>
  <si>
    <t>Prestige Estates Projects Ltd.</t>
  </si>
  <si>
    <t>INE918Z01012</t>
  </si>
  <si>
    <t>Kaynes Technology India Ltd.</t>
  </si>
  <si>
    <t>INE066P01011</t>
  </si>
  <si>
    <t>Inox Wind Ltd.</t>
  </si>
  <si>
    <t>INE944F01028</t>
  </si>
  <si>
    <t>Radico Khaitan Ltd</t>
  </si>
  <si>
    <t>INE596F01018</t>
  </si>
  <si>
    <t>PTC Industries Ltd.</t>
  </si>
  <si>
    <t>INE0BS701011</t>
  </si>
  <si>
    <t>Premier Energies Ltd.</t>
  </si>
  <si>
    <t>INE377N01017</t>
  </si>
  <si>
    <t>Waaree Energies Ltd.</t>
  </si>
  <si>
    <t>INE013P01021</t>
  </si>
  <si>
    <t>Onesource Specialty Pharma Ltd.</t>
  </si>
  <si>
    <t>INE455K01017</t>
  </si>
  <si>
    <t>Polycab India Ltd.</t>
  </si>
  <si>
    <t>INE494B01023</t>
  </si>
  <si>
    <t>TVS Motor Company Ltd.</t>
  </si>
  <si>
    <t>INE211R01019</t>
  </si>
  <si>
    <t>Power Mech Projects Ltd.</t>
  </si>
  <si>
    <t>INE055A01016</t>
  </si>
  <si>
    <t>Aditya Birla Real Estate Ltd.</t>
  </si>
  <si>
    <t>INE07Y701011</t>
  </si>
  <si>
    <t>Hitachi Energy India Ltd.</t>
  </si>
  <si>
    <t>INE121E01018</t>
  </si>
  <si>
    <t>JSW Energy Ltd.</t>
  </si>
  <si>
    <t>INE646L01027</t>
  </si>
  <si>
    <t>InterGlobe Aviation Ltd.</t>
  </si>
  <si>
    <t>Multi Commodity Exchange of India Ltd.</t>
  </si>
  <si>
    <t>INE171Z01026</t>
  </si>
  <si>
    <t>Bharat Dynamics Ltd.</t>
  </si>
  <si>
    <t>Coforge Ltd.</t>
  </si>
  <si>
    <t>Bajaj Finance Ltd.</t>
  </si>
  <si>
    <t>INE263A01024</t>
  </si>
  <si>
    <t>Bharat Electronics Ltd.</t>
  </si>
  <si>
    <t>INE200A01026</t>
  </si>
  <si>
    <t>GE Vernova T&amp;D India Ltd.</t>
  </si>
  <si>
    <t>INE417T01026</t>
  </si>
  <si>
    <t>PB Fintech Ltd.</t>
  </si>
  <si>
    <t>INE024L01027</t>
  </si>
  <si>
    <t>Gravita India Ltd.</t>
  </si>
  <si>
    <t>INE414G01012</t>
  </si>
  <si>
    <t>Muthoot Finance Ltd.</t>
  </si>
  <si>
    <t>INE095A01012</t>
  </si>
  <si>
    <t>IndusInd Bank Ltd.</t>
  </si>
  <si>
    <t>INE419M01027</t>
  </si>
  <si>
    <t>TD Power Systems Ltd.</t>
  </si>
  <si>
    <t>INE591G01025</t>
  </si>
  <si>
    <t>INE296A01032</t>
  </si>
  <si>
    <t>INE0DYJ01015</t>
  </si>
  <si>
    <t>Syrma SGS Technology Ltd.</t>
  </si>
  <si>
    <t>BAABTAVMT0NBTAFI/////wFQYAAAADJDSVEuSV9JTkUwNjdBMDEwMjkuSVFfTEFTVFNBTEVQUklDRS4zMC0wNi0yMDI0LklOUgEAAADyWA0AAgAAAAU3MDQuNwAPxu0szM3dCMvGni7Wzd0IMkNJUS5JX0lORTA2N0EwMTAyOS5JUV9MQVNUU0FMRVBSSUNFLjMwLTA2LTIwMjUuSU5SAQAAAPJYDQACAAAABjY4Mi4xNQAPxu0szM3dCNJXni7Wzd0IMkNJUS5JX0lORTA2N0EwMTAyOS5JUV9MQVNUU0FMRVBSSUNFLjMxLTAzLTIwMjUuSU5SAQAAAPJYDQACAAAABTYzOC41AA/G7SzMzd0IzJCeLtbN3QgyQ0lRLklfSU5FNDc0UTAxMDMxLklRX0xBU1RTQUxFUFJJQ0UuMzAtMDYtMjAyNC5JTlIBAAAAjItOBgIAAAAGMTMwOC4zAA/G7SzMzd0Iy8aeLtbN3QgyQ0lRLklfSU5FNDc0UTAxMDMxLklRX0xBU1RTQUxFUFJJQ0UuMzAtMDYtMjAyNS5JTlIBAAAAjItOBgIAAAAGMTEzNi44AA/G7SzMzd0IzJCeLtbN3QgyQ0lRLklfSU5FNDc0UTAxMDMxLklRX0xBU1RTQUxFUFJJQ0UuMzEtMDMtMjAyNS5JTlIBAAAAjItOBgIAAAAGMTE5OC4zAA/G7SzMzd0IzJCeLtbN3QgyQ0lRLklfSU5FODc4QjAxMDI3LklRX0xBU1RTQUxFUFJJQ0UuMzAtMDYtMjAyNC5JTlIBAAAAl3Y2AQIAAAAGNDQyMi44AA/G7SzMzd0Iy8aeLtbN3QgyQ0lRLklfSU5FODc4QjAxMDI3LklRX0xBU1RTQUxFUFJJQ0UuMzAtMDYtMjAyNS5JTlIB</t>
  </si>
  <si>
    <t>AAAAl3Y2AQIAAAAHMzc5NC44NQAPxu0szM3dCNJXni7Wzd0IMkNJUS5JX0lORTg3OEIwMTAyNy5JUV9MQVNUU0FMRVBSSUNFLjMxLTAzLTIwMjUuSU5SAQAAAJd2NgECAAAABjI4OTAuOQAPxu0szM3dCMvGni7Wzd0IMkNJUS5JX0lORTM3MVAwMTAxNS5JUV9MQVNUU0FMRVBSSUNFLjMwLTA2LTIwMjQuSU5SAQAAALTb8AECAAAABzQ1MjEuNzUAD8btLMzN3QjLxp4u1s3dCDJDSVEuSV9JTkUzNzFQMDEwMTUuSVFfTEFTVFNBTEVQUklDRS4zMC0wNi0yMDI1LklOUgEAAAC02/ABAgAAAAY2NzY5LjUAD8btLMzN3QjMkJ4u1s3dCDJDSVEuSV9JTkUzNzFQMDEwMTUuSVFfTEFTVFNBTEVQUklDRS4zMS0wMy0yMDI1LklOUgEAAAC02/ABAgAAAAc3MjEwLjg1AA/G7SzMzd0IzJCeLtbN3QgyQ0lRLklfSU5FNDgxRzAxMDExLklRX0xBU1RTQUxFUFJJQ0UuMzAtMDYtMjAyNC5JTlIBAAAARU3JAAIAAAAHMTE2NjcuOQAPxu0szM3dCMvGni7Wzd0IMkNJUS5JX0lORTQ4MUcwMTAxMS5JUV9MQVNUU0FMRVBSSUNFLjMwLTA2LTIwMjUuSU5SAQAAAEVNyQACAAAABTEyMDkzAA/G7SzMzd0IzJCeLtbN3QgyQ0lRLklfSU5FNDgxRzAxMDExLklRX0xBU1RTQUxFUFJJQ0UuMzEtMDMtMjAyNS5JTlIBAAAARU3JAAIAAAAIMTE1MDkuNTUAD8btLMzN3QjMkJ4u1s3dCDJDSVEuSV9JTkUyOThBMDEwMjAuSVFfTEFTVFNBTEVQ</t>
  </si>
  <si>
    <t>UklDRS4zMC0wNi0yMDI0LklOUgEAAAB7Zw0AAgAAAAczOTY1Ljc1AA/G7SzMzd0Iy8aeLtbN3QgyQ0lRLklfSU5FMjk4QTAxMDIwLklRX0xBU1RTQUxFUFJJQ0UuMzAtMDYtMjAyNS5JTlIBAAAAe2cNAAIAAAAHMzM5OS4xNQAPxu0szM3dCMyQni7Wzd0IMkNJUS5JX0lORTI5OEEwMTAyMC5JUV9MQVNUU0FMRVBSSUNFLjMxLTAzLTIwMjUuSU5SAQAAAHtnDQACAAAABDMwNTAAD8btLMzN3QjMkJ4u1s3dCDJDSVEuSV9JTkUzNzJBMDEwMTUuSVFfTEFTVFNBTEVQUklDRS4zMC0wNi0yMDI0LklOUgEAAAD/2cEAAgAAAAc4NDczLjQ1AA/G7SzMzd0Iy8aeLtbN3QgyQ0lRLklfSU5FMzcyQTAxMDE1LklRX0xBU1RTQUxFUFJJQ0UuMzAtMDYtMjAyNS5JTlIBAAAA/9nBAAIAAAAGODcyMS41AA/G7SzMzd0I0leeLtbN3QgyQ0lRLklfSU5FMzcyQTAxMDE1LklRX0xBU1RTQUxFUFJJQ0UuMzEtMDMtMjAyNS5JTlIBAAAA/9nBAAIAAAAHNTUzOS45NQAPxu0szM3dCMvGni7Wzd0IMkNJUS5JX0lORTQzN0EwMTAyNC5JUV9MQVNUU0FMRVBSSUNFLjMwLTA2LTIwMjQuSU5SAQAAAGKfhwACAAAABjYxODUuNwAPxu0szM3dCMvGni7Wzd0IMkNJUS5JX0lORTQzN0EwMTAyNC5JUV9MQVNUU0FMRVBSSUNFLjMwLTA2LTIwMjUuSU5SAQAAAGKfhwACAAAABDcyNDIAD8btLMzN3QjMkJ4u1s3dCDJDSVEuSV9JTkU0MzdBMDEw</t>
  </si>
  <si>
    <t>MjQuSVFfTEFTVFNBTEVQUklDRS4zMS0wMy0yMDI1LklOUgEAAABin4cAAgAAAAY2NjE2LjIAD8btLMzN3QjLxp4u1s3dCDJDSVEuSV9JTkU3MjZWMDEwMTguSVFfTEFTVFNBTEVQUklDRS4zMC0wNi0yMDI0LklOUgEAAAC+aaMQAgAAAAY0OTIuMDUAD8btLMzN3QjLxp4u1s3dCDJDSVEuSV9JTkU3MjZWMDEwMTguSVFfTEFTVFNBTEVQUklDRS4zMC0wNi0yMDI1LklOUgEAAAC+aaMQAgAAAAY0NTguMzUAD8btLMzN3QjMkJ4u1s3dCDJDSVEuSV9JTkU3MjZWMDEwMTguSVFfTEFTVFNBTEVQUklDRS4zMS0wMy0yMDI1LklOUgEAAAC+aaMQAgAAAAY0NTEuNDUAD8btLMzN3QjMkJ4u1s3dCDJDSVEuSV9JTkU0NTdMMDEwMjkuSVFfTEFTVFNBTEVQUklDRS4zMC0wNi0yMDI0LklOUgEAAADfO4EGAgAAAAYzNTQuNzEAD8btLMzN3QjLxp4u1s3dCDJDSVEuSV9JTkU0NTdMMDEwMjkuSVFfTEFTVFNBTEVQUklDRS4zMC0wNi0yMDI1LklOUgEAAADfO4EGAgAAAAU3NTQuMgAPxu0szM3dCNJXni7Wzd0IMkNJUS5JX0lORTQ1N0wwMTAyOS5JUV9MQVNUU0FMRVBSSUNFLjMxLTAzLTIwMjUuSU5SAQAAAN87gQYCAAAABTkxNi43AA/G7SzMzd0IzJCeLtbN3QgyQ0lRLklfSU5FNjY5QzAxMDM2LklRX0xBU1RTQUxFUFJJQ0UuMzAtMDYtMjAyNC5JTlIBAAAAxIaPAAIAAAAHMTQzMC4zNQAPxu0szM3dCMvGni7Wzd0IMkNJ</t>
  </si>
  <si>
    <t>US5JX0lORTY2OUMwMTAzNi5JUV9MQVNUU0FMRVBSSUNFLjMwLTA2LTIwMjUuSU5SAQAAAMSGjwACAAAABDE2ODcAD8btLMzN3QjMkJ4u1s3dCDJDSVEuSV9JTkU2NjlDMDEwMzYuSVFfTEFTVFNBTEVQUklDRS4zMS0wMy0yMDI1LklOUgEAAADEho8AAgAAAAcxNDE4LjI1AA/G7SzMzd0Iy8aeLtbN3QgyQ0lRLklfSU5FMzQ4QjAxMDIxLklRX0xBU1RTQUxFUFJJQ0UuMzAtMDYtMjAyNC5JTlIBAAAA6EY2AQIAAAAGNzYzLjY1AA/G7SzMzd0Iy8aeLtbN3QgyQ0lRLklfSU5FMzQ4QjAxMDIxLklRX0xBU1RTQUxFUFJJQ0UuMzAtMDYtMjAyNS5JTlIBAAAA6EY2AQIAAAAGNzYwLjI1AA/G7SzMzd0IzJCeLtbN3QgyQ0lRLklfSU5FMzQ4QjAxMDIxLklRX0xBU1RTQUxFUFJJQ0UuMzEtMDMtMjAyNS5JTlIBAAAA6EY2AQIAAAAFNzA5LjMAD8btLMzN3QjMkJ4u1s3dCDJDSVEuSV9JTkU4MzZBMDEwMzUuSVFfTEFTVFNBTEVQUklDRS4zMC0wNi0yMDI0LklOUgEAAACtmWcAAgAAAAU2OTAuMwAPxu0szM3dCMvGni7Wzd0IMkNJUS5JX0lORTgzNkEwMTAzNS5JUV9MQVNUU0FMRVBSSUNFLjMwLTA2LTIwMjUuSU5SAQAAAK2ZZwACAAAABTQzMy41AA/G7SzMzd0IzJCeLtbN3QgyQ0lRLklfSU5FODM2QTAxMDM1LklRX0xBU1RTQUxFUFJJQ0UuMzEtMDMtMjAyNS5JTlIBAAAArZlnAAIAAAAFMzg3LjcAD8btLMzN3QjL</t>
  </si>
  <si>
    <t>xp4u1s3dCDJDSVEuSV9JTkUyNTdBMDEwMjYuSVFfTEFTVFNBTEVQUklDRS4zMC0wNi0yMDI0LklOUgEAAAAmbg0AAgAAAAYzMDAuNzUAD8btLMzN3QjLxp4u1s3dCDJDSVEuSV9JTkUyNTdBMDEwMjYuSVFfTEFTVFNBTEVQUklDRS4zMC0wNi0yMDI1LklOUgEAAAAmbg0AAgAAAAYyNjYuMjUAD8btLMzN3QjMkJ4u1s3dCDJDSVEuSV9JTkUyNTdBMDEwMjYuSVFfTEFTVFNBTEVQUklDRS4zMS0wMy0yMDI1LklOUgEAAAAmbg0AAgAAAAYyMTYuMDUAD8btLMzN3QjMkJ4u1s3dCDJDSVEuSV9JTkU3MDJDMDEwMjcuSVFfTEFTVFNBTEVQUklDRS4zMC0wNi0yMDI0LklOUgEAAAAeLzgBAgAAAAcxNTU1LjM1AA/G7SzMzd0Iy8aeLtbN3QgyQ0lRLklfSU5FNzAyQzAxMDI3LklRX0xBU1RTQUxFUFJJQ0UuMzAtMDYtMjAyNS5JTlIBAAAAHi84AQIAAAAHMTczNy4xNQAPxu0szM3dCNJXni7Wzd0IMkNJUS5JX0lORTcwMkMwMTAyNy5JUV9MQVNUU0FMRVBSSUNFLjMxLTAzLTIwMjUuSU5SAQAAAB4vOAECAAAABjE1MjQuNQAPxu0szM3dCMyQni7Wzd0IMkNJUS5JX0lORTQ3MkEwMTAzOS5JUV9MQVNUU0FMRVBSSUNFLjMwLTA2LTIwMjQuSU5SAQAAANpnDQACAAAABjE2MzMuNgAPxu0szM3dCMvGni7Wzd0IMkNJUS5JX0lORTQ3MkEwMTAzOS5JUV9MQVNUU0FMRVBSSUNFLjMwLTA2LTIwMjUuSU5SAQAAANpnDQACAAAA</t>
  </si>
  <si>
    <t>BjE2MzYuOQAPxu0szM3dCMyQni7Wzd0IMkNJUS5JX0lORTQ3MkEwMTAzOS5JUV9MQVNUU0FMRVBSSUNFLjMxLTAzLTIwMjUuSU5SAQAAANpnDQACAAAABjIxMzYuNwAPxu0szM3dCMyQni7Wzd0IMkNJUS5JX0lORTEyOFgwMTAyMS5JUV9MQVNUU0FMRVBSSUNFLjMwLTA2LTIwMjQuSU5SAQAAANHDzQ4CAAAAAzY2OQAPxu0szM3dCMvGni7Wzd0IMkNJUS5JX0lORTEyOFgwMTAyMS5JUV9MQVNUU0FMRVBSSUNFLjMwLTA2LTIwMjUuSU5SAQAAANHDzQ4CAAAABTYzMi42AA/G7SzMzd0IzJCeLtbN3QgyQ0lRLklfSU5FMTI4WDAxMDIxLklRX0xBU1RTQUxFUFJJQ0UuMzEtMDMtMjAyNS5JTlIBAAAA0cPNDgIAAAAFNTE3LjkAD8btLMzN3QjLxp4u1s3dCDJDSVEuSV9JTkU3MTZBMDEwMTMuSVFfTEFTVFNBTEVQUklDRS4zMC0wNi0yMDI0LklOUgEAAADkmw4AAgAAAAcxOTk4LjM1AA/G7SzMzd0Iy8aeLtbN3QgyQ0lRLklfSU5FNzE2QTAxMDEzLklRX0xBU1RTQUxFUFJJQ0UuMzAtMDYtMjAyNS5JTlIBAAAA5JsOAAIAAAAGMTQwMS42AA/G7SzMzd0IzJCeLtbN3QgyQ0lRLklfSU5FNzE2QTAxMDEzLklRX0xBU1RTQUxFUFJJQ0UuMzEtMDMtMjAyNS5JTlIBAAAA5JsOAAIAAAAFOTkwLjUAD8btLMzN3QjMkJ4u1s3dCDJDSVEuSV9JTkUxNThBMDEwMjYuSVFfTEFTVFNBTEVQUklDRS4zMC0wNi0yMDI0LklOUgEA</t>
  </si>
  <si>
    <t>AACkcw0AAgAAAAY1NTgwLjgAD8btLMzN3QjLxp4u1s3dCDJDSVEuSV9JTkUxNThBMDEwMjYuSVFfTEFTVFNBTEVQUklDRS4zMC0wNi0yMDI1LklOUgEAAACkcw0AAgAAAAY0MjM3LjcAD8btLMzN3QjMkJ4u1s3dCDJDSVEuSV9JTkUxNThBMDEwMjYuSVFfTEFTVFNBTEVQUklDRS4zMS0wMy0yMDI1LklOUgEAAACkcw0AAgAAAAYzNzIyLjEAD8btLMzN3QjLxp4u1s3dCDJDSVEuSV9JTkUyNjNBMDEwMjQuSVFfTEFTVFNBTEVQUklDRS4zMC0wNi0yMDI0LklOUgEAAAAO+IcAAgAAAAUzMDYuMgAPxu0szM3dCMvGni7Wzd0IMkNJUS5JX0lORTI2M0EwMTAyNC5JUV9MQVNUU0FMRVBSSUNFLjMwLTA2LTIwMjUuSU5SAQAAAA74hwACAAAABTQyMS43AA/G7SzMzd0IzJCeLtbN3QgyQ0lRLklfSU5FMjYzQTAxMDI0LklRX0xBU1RTQUxFUFJJQ0UuMzEtMDMtMjAyNS5JTlIBAAAADviHAAIAAAAFMzAxLjIAD8btLMzN3QjLxp4u1s3dCDJDSVEuSV9JTkUwMDNBMDEwMjQuSVFfTEFTVFNBTEVQUklDRS4zMC0wNi0yMDI0LklOUgEAAABpZw0AAgAAAAY3NzA0LjUAD8btLMzN3QjLxp4u1s3dCDJDSVEuSV9JTkUwMDNBMDEwMjQuSVFfTEFTVFNBTEVQUklDRS4zMC0wNi0yMDI1LklOUgEAAABpZw0AAgAAAAYzMjUxLjUAD8btLMzN3QjMkJ4u1s3dCDJDSVEuSV9JTkUwMDNBMDEwMjQuSVFfTEFTVFNBTEVQUklDRS4zMS0w</t>
  </si>
  <si>
    <t>My0yMDI1LklOUgEAAABpZw0AAgAAAAc1Mjc1LjM1AA/G7SzMzd0IzJCeLtbN3QgyQ0lRLklfSU5FODYwQTAxMDI3LklRX0xBU1RTQUxFUFJJQ0UuMzAtMDYtMjAyNC5JTlIBAAAAYtsLAAIAAAAGMTQ1OS42AA/G7SzMzd0Iy8aeLtbN3QgyQ0lRLklfSU5FODYwQTAxMDI3LklRX0xBU1RTQUxFUFJJQ0UuMzAtMDYtMjAyNS5JTlIBAAAAYtsLAAIAAAAGMTcyOC42AA/G7SzMzd0IzJCeLtbN3QgyQ0lRLklfSU5FODYwQTAxMDI3LklRX0xBU1RTQUxFUFJJQ0UuMzEtMDMtMjAyNS5JTlIBAAAAYtsLAAIAAAAGMTU5Mi41AA/G7SzMzd0Iy8aeLtbN3QgyQ0lRLklfSU5FOTY3SDAxMDE3LklRX0xBU1RTQUxFUFJJQ0UuMzAtMDYtMjAyNC5JTlIBAAAAXsHkBAIAAAAGNDE2Ljg3AA/G7SzMzd0Iy8aeLtbN3QgyQ0lRLklfSU5FOTY3SDAxMDE3LklRX0xBU1RTQUxFUFJJQ0UuMzAtMDYtMjAyNS5JTlIBAAAAXsHkBAIAAAAFNjczLjYAD8btLMzN3QjMkJ4u1s3dCDJDSVEuSV9JTkU5NjdIMDEwMTcuSVFfTEFTVFNBTEVQUklDRS4zMS0wMy0yMDI1LklOUgEAAABeweQEAgAAAAU2MzkuNgAPxu0szM3dCMyQni7Wzd0IKENJUS5JX0lORTk2N0gwMTAxNy5JUV9MQVNUU0FMRVBSSUNFLi5JTlIBAAAAXsHkBAIAAAAFNzcxLjQAK5ABBtPN3QhHF13o083dCChDSVEuSV9JTkUyNjNBMDEwMjQuSVFfTEFTVFNBTEVQUklDRS4u</t>
  </si>
  <si>
    <t>SU5SAQAAAA74hwACAAAABTM4Ny4yACuQAQbTzd0IRxdd6NPN3QgoQ0lRLklfSU5FMTI4WDAxMDIxLklRX0xBU1RTQUxFUFJJQ0UuLklOUgEAAADRw80OAgAAAAU2NjcuNAArkAEG083dCEcXXejTzd0IKENJUS5JX0lORTI1N0EwMTAyNi5JUV9MQVNUU0FMRVBSSUNFLi5JTlIBAAAAJm4NAAIAAAAFMjM5LjYAK5ABBtPN3QhHF13o083dCChDSVEuSV9JTkU2NjlDMDEwMzYuSVFfTEFTVFNBTEVQUklDRS4uSU5SAQAAAMSGjwACAAAABjE0NTUuNAArkAEG083dCEcXXejTzd0IKENJUS5JX0lORTQzN0EwMTAyNC5JUV9MQVNUU0FMRVBSSUNFLi5JTlIBAAAAYp+HAAIAAAAGNzM2Ny41ACuQAQbTzd0IRxdd6NPN3QgoQ0lRLklfSU5FNDgxRzAxMDExLklRX0xBU1RTQUxFUFJJQ0UuLklOUgEAAABFTckAAgAAAAUxMjI1MAArkAEG083dCEcXXejTzd0IKENJUS5JX0lORTQ3NFEwMTAzMS5JUV9MQVNUU0FMRVBSSUNFLi5JTlIBAAAAjItOBgIAAAAGMTM0Ny40ACuQAQbTzd0IRxdd6NPN3QgoQ0lRLklfSU5FMzcxUDAxMDE1LklRX0xBU1RTQUxFUFJJQ0UuLklOUgEAAAC02/ABAgAAAAY3NDUzLjUAK5ABBtPN3QiGPl3o083dCChDSVEuSV9JTkU4NjBBMDEwMjcuSVFfTEFTVFNBTEVQUklDRS4uSU5SAQAAAGLbCwACAAAABjE0NzcuNgArkAEG083dCEcXXejTzd0IKENJUS5JX0lORTE1OEEwMTAyNi5JUV9MQVNUU0FM</t>
  </si>
  <si>
    <t>RVBSSUNFLi5JTlIBAAAApHMNAAIAAAAHNDI4NC4yNQArkAEG083dCEcXXejTzd0IKENJUS5JX0lORTQ3MkEwMTAzOS5JUV9MQVNUU0FMRVBSSUNFLi5JTlIBAAAA2mcNAAIAAAAGMTc1MC45ACuQAQbTzd0IRxdd6NPN3QgoQ0lRLklfSU5FODM2QTAxMDM1LklRX0xBU1RTQUxFUFJJQ0UuLklOUgEAAACtmWcAAgAAAAYzOTEuMTUAK5ABBtPN3QhHF13o083dCChDSVEuSV9JTkU0NTdMMDEwMjkuSVFfTEFTVFNBTEVQUklDRS4uSU5SAQAAAN87gQYCAAAABjc5My40NQArkAEG083dCIY+XejTzd0IKENJUS5JX0lORTM3MkEwMTAxNS5JUV9MQVNUU0FMRVBSSUNFLi5JTlIBAAAA/9nBAAIAAAAGODg0MC41ACuQAQbTzd0IRxdd6NPN3QgoQ0lRLklfSU5FMDY3QTAxMDI5LklRX0xBU1RTQUxFUFJJQ0UuLklOUgEAAADyWA0AAgAAAAY2NTkuMjUAK5ABBtPN3QhHF13o083dCChDSVEuSV9JTkUyOThBMDEwMjAuSVFfTEFTVFNBTEVQUklDRS4uSU5SAQAAAHtnDQACAAAABzM1MDkuOTUAK5ABBtPN3QhHF13o083dCChDSVEuSV9JTkUzNDhCMDEwMjEuSVFfTEFTVFNBTEVQUklDRS4uSU5SAQAAAOhGNgECAAAABTczNS41ACuQAQbTzd0IRxdd6NPN3QgoQ0lRLklfSU5FODc4QjAxMDI3LklRX0xBU1RTQUxFUFJJQ0UuLklOUgEAAACXdjYBAgAAAAQzOTE4ACuQAQbTzd0IRxdd6NPN3QgoQ0lRLklfSU5FNzE2QTAxMDEz</t>
  </si>
  <si>
    <t>LklRX0xBU1RTQUxFUFJJQ0UuLklOUgEAAADkmw4AAgAAAAcxMzgwLjQ1ACuQAQbTzd0IRxdd6NPN3QgoQ0lRLklfSU5FMDAzQTAxMDI0LklRX0xBU1RTQUxFUFJJQ0UuLklOUgEAAABpZw0AAgAAAAYzMDQ3LjUAK5ABBtPN3QhHF13o083dCChDSVEuSV9JTkU3MDJDMDEwMjcuSVFfTEFTVFNBTEVQUklDRS4uSU5SAQAAAB4vOAECAAAABjE1MDUuNwArkAEG083dCIY+XejTzd0IKENJUS5JX0lORTcyNlYwMTAxOC5JUV9MQVNUU0FMRVBSSUNFLi5JTlIBAAAAvmmjEAIAAAAGNDM0LjU1ACuQAQbTzd0IRxdd6NPN3QgkQ0lRLi5JUV9MQVNUU0FMRVBSSUNFLjMwLTA2LTIwMjQuSU5SBQAAAAEAAAAIAAAAFChJbnZhbGlkIElkZW50aWZpZXIpqOOsstPN3Qio46yy083dCCRDSVEuLklRX0xBU1RTQUxFUFJJQ0UuMzAtMDYtMjAyNS5JTlIFAAAAAQAAAAgAAAAUKEludmFsaWQgSWRlbnRpZmllcimo46yy083dCKjjrLLTzd0IJENJUS4uSVFfTEFTVFNBTEVQUklDRS4zMS0wMy0yMDI1LklOUgUAAAABAAAACAAAABQoSW52YWxpZCBJZGVudGlmaWVyKajjrLLTzd0IqOOsstPN3QgaQ0lRLi5JUV9MQVNUU0FMRVBSSUNFLi5JTlIFAAAAAQAAAAgAAAAUKEludmFsaWQgSWRlbnRpZmllcimD0FHo083dCIPQUejTzd0I</t>
  </si>
  <si>
    <t>INE935A01035</t>
  </si>
  <si>
    <t>Glenmark Pharmaceuticals Ltd.</t>
  </si>
  <si>
    <t>INE671H01015</t>
  </si>
  <si>
    <t>Sobha Ltd.</t>
  </si>
  <si>
    <t>INE0INX01018</t>
  </si>
  <si>
    <t>Aegis Vopak Terminals Ltd.</t>
  </si>
  <si>
    <t>INE474Q01031</t>
  </si>
  <si>
    <t>Global Health Ltd.</t>
  </si>
  <si>
    <t>INE481G01011</t>
  </si>
  <si>
    <t>UltraTech Cement Ltd.</t>
  </si>
  <si>
    <t>INE878B01027</t>
  </si>
  <si>
    <t>KEI Industries Ltd.</t>
  </si>
  <si>
    <t>INE982J01020</t>
  </si>
  <si>
    <t>One 97 Communications Ltd.</t>
  </si>
  <si>
    <t>INE0BV301023</t>
  </si>
  <si>
    <t>C.E. Info Systems Ltd.</t>
  </si>
  <si>
    <t>INE251B01027</t>
  </si>
  <si>
    <t>Zen Technologies Ltd.</t>
  </si>
  <si>
    <t>INE585B01010</t>
  </si>
  <si>
    <t>Maruti Suzuki India Ltd.</t>
  </si>
  <si>
    <t>INE551W01018</t>
  </si>
  <si>
    <t>Ujjivan Small Finance Bank Ltd.</t>
  </si>
  <si>
    <t>INE674K01013</t>
  </si>
  <si>
    <t>Aditya Birla Capital Ltd.</t>
  </si>
  <si>
    <t>INE621H01010</t>
  </si>
  <si>
    <t>Religare Enterprises Ltd.</t>
  </si>
  <si>
    <t>INE106T01025</t>
  </si>
  <si>
    <t>Hi-Tech Pipes Ltd.</t>
  </si>
  <si>
    <t>Construction Materials</t>
  </si>
  <si>
    <t>INE0LXG01040</t>
  </si>
  <si>
    <t>Ola Electric Mobility Ltd.</t>
  </si>
  <si>
    <t>INE794A01010</t>
  </si>
  <si>
    <t>Neuland Laboratories Ltd.</t>
  </si>
  <si>
    <t>INE864I01014</t>
  </si>
  <si>
    <t>MTAR Technologies Ltd.</t>
  </si>
  <si>
    <t>INE494B04019</t>
  </si>
  <si>
    <t>TVS Motor Company Ltd. NCPS</t>
  </si>
  <si>
    <t>INE101A01026</t>
  </si>
  <si>
    <t>Mahindra &amp; Mahindra Ltd.</t>
  </si>
  <si>
    <t>INE524A01029</t>
  </si>
  <si>
    <t>Gabriel India Ltd.</t>
  </si>
  <si>
    <t>INE202B01038</t>
  </si>
  <si>
    <t>INE0YD401026</t>
  </si>
  <si>
    <t>Jain Resource Recycling Ltd.</t>
  </si>
  <si>
    <t>INE741K01010</t>
  </si>
  <si>
    <t>CreditAccess Grameen Ltd.</t>
  </si>
  <si>
    <t>INE04TZ01018</t>
  </si>
  <si>
    <t>Ethos Ltd.</t>
  </si>
  <si>
    <t>INE128S01021</t>
  </si>
  <si>
    <t>Five-Star Business Finance Ltd.</t>
  </si>
  <si>
    <t>INE092T01019</t>
  </si>
  <si>
    <t>IDFC First Bank Ltd.</t>
  </si>
  <si>
    <t>INE520A01027</t>
  </si>
  <si>
    <t>INE075I01017</t>
  </si>
  <si>
    <t>Healthcare Global Enterprises Ltd.</t>
  </si>
  <si>
    <t>INE324D01010</t>
  </si>
  <si>
    <t>LG Electronics India Ltd.</t>
  </si>
  <si>
    <t>INE01IU01018</t>
  </si>
  <si>
    <t>INE00FF01025</t>
  </si>
  <si>
    <t>Acutaas Chemicals Ltd.</t>
  </si>
  <si>
    <t>Piramal Finance Ltd.</t>
  </si>
  <si>
    <t>INE0LEZ01016</t>
  </si>
  <si>
    <t>Ather Energy Ltd.</t>
  </si>
  <si>
    <t>INE0HOQ01053</t>
  </si>
  <si>
    <t>Billionbrains Garage Ventures Ltd.</t>
  </si>
  <si>
    <t>INE048G01026</t>
  </si>
  <si>
    <t>Navin Fluorine International Ltd.</t>
  </si>
  <si>
    <t>INE0LP301011</t>
  </si>
  <si>
    <t>Physicswallah Ltd.</t>
  </si>
  <si>
    <t>Zensar Technolgies Ltd.</t>
  </si>
  <si>
    <t>INE491A01021</t>
  </si>
  <si>
    <t>City Union Bank Ltd.</t>
  </si>
  <si>
    <t>INE503A01015</t>
  </si>
  <si>
    <t>DCB Bank Ltd.</t>
  </si>
  <si>
    <t>INE721A01047</t>
  </si>
  <si>
    <t>Shriram Finance Ltd.</t>
  </si>
  <si>
    <t>INE093A01041</t>
  </si>
  <si>
    <t>Hexaware Technologies Ltd.</t>
  </si>
  <si>
    <t>INE0VDM01015</t>
  </si>
  <si>
    <t>Meesho Ltd.</t>
  </si>
  <si>
    <t>INE267A01025</t>
  </si>
  <si>
    <t>Hindustan Zinc Ltd.</t>
  </si>
  <si>
    <t>INE00H001014</t>
  </si>
  <si>
    <t>Swiggy Ltd.</t>
  </si>
  <si>
    <t>INE139A01034</t>
  </si>
  <si>
    <t>National Aluminium Co. Ltd.</t>
  </si>
  <si>
    <t>INE745G01043</t>
  </si>
  <si>
    <t>INE428V01029</t>
  </si>
  <si>
    <t>Nephrocare Health Services Ltd.</t>
  </si>
  <si>
    <t>INE733E01010</t>
  </si>
  <si>
    <t>NTPC Ltd.</t>
  </si>
  <si>
    <t>INE571A01038</t>
  </si>
  <si>
    <t>Ipca Laboratories Ltd.</t>
  </si>
  <si>
    <t>SKY GOLD AND DIAMONDS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</si>
</sst>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A2" sqref="A2"/>
    </sheetView>
  </sheetViews>
  <sheetFormatPr defaultRowHeight="14.4" x14ac:dyDescent="0.3"/>
  <cols>
    <col min="1" max="1" width="14" bestFit="1" customWidth="1"/>
    <col min="2" max="2" width="34.5546875" bestFit="1" customWidth="1"/>
    <col min="3" max="3" width="16.21875" bestFit="1" customWidth="1"/>
    <col min="5" max="5" width="28.2187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6"/>
      <c r="E1" s="1" t="s">
        <v>3</v>
      </c>
      <c r="F1" s="2" t="s">
        <v>2</v>
      </c>
    </row>
    <row r="2" spans="1:6" x14ac:dyDescent="0.3">
      <c r="A2" s="4" t="s">
        <v>213</v>
      </c>
      <c r="B2" s="7" t="s">
        <v>92</v>
      </c>
      <c r="C2" s="5">
        <v>7.92</v>
      </c>
      <c r="E2" s="3" t="s">
        <v>5</v>
      </c>
      <c r="F2" s="5">
        <v>28.359999999999996</v>
      </c>
    </row>
    <row r="3" spans="1:6" x14ac:dyDescent="0.3">
      <c r="A3" s="4" t="s">
        <v>97</v>
      </c>
      <c r="B3" s="7" t="s">
        <v>98</v>
      </c>
      <c r="C3" s="5">
        <v>5.73</v>
      </c>
      <c r="E3" s="3" t="s">
        <v>7</v>
      </c>
      <c r="F3" s="5">
        <v>26.66</v>
      </c>
    </row>
    <row r="4" spans="1:6" x14ac:dyDescent="0.3">
      <c r="A4" s="4" t="s">
        <v>60</v>
      </c>
      <c r="B4" s="7" t="s">
        <v>61</v>
      </c>
      <c r="C4" s="5">
        <v>5.36</v>
      </c>
      <c r="E4" s="3" t="s">
        <v>6</v>
      </c>
      <c r="F4" s="5">
        <v>9.6100000000000012</v>
      </c>
    </row>
    <row r="5" spans="1:6" x14ac:dyDescent="0.3">
      <c r="A5" s="4" t="s">
        <v>93</v>
      </c>
      <c r="B5" s="7" t="s">
        <v>94</v>
      </c>
      <c r="C5" s="5">
        <v>4.18</v>
      </c>
      <c r="E5" s="3" t="s">
        <v>8</v>
      </c>
      <c r="F5" s="5">
        <v>8.67</v>
      </c>
    </row>
    <row r="6" spans="1:6" x14ac:dyDescent="0.3">
      <c r="A6" s="4" t="s">
        <v>32</v>
      </c>
      <c r="B6" s="7" t="s">
        <v>33</v>
      </c>
      <c r="C6" s="5">
        <v>4.1399999999999997</v>
      </c>
      <c r="E6" s="3" t="s">
        <v>10</v>
      </c>
      <c r="F6" s="5">
        <v>6.91</v>
      </c>
    </row>
    <row r="7" spans="1:6" x14ac:dyDescent="0.3">
      <c r="A7" s="4" t="s">
        <v>62</v>
      </c>
      <c r="B7" s="7" t="s">
        <v>63</v>
      </c>
      <c r="C7" s="5">
        <v>4.13</v>
      </c>
      <c r="E7" s="3" t="s">
        <v>11</v>
      </c>
      <c r="F7" s="5">
        <v>5.0999999999999996</v>
      </c>
    </row>
    <row r="8" spans="1:6" x14ac:dyDescent="0.3">
      <c r="A8" s="4" t="s">
        <v>52</v>
      </c>
      <c r="B8" s="7" t="s">
        <v>53</v>
      </c>
      <c r="C8" s="5">
        <v>4.0999999999999996</v>
      </c>
      <c r="E8" s="3" t="s">
        <v>9</v>
      </c>
      <c r="F8" s="5">
        <v>4.13</v>
      </c>
    </row>
    <row r="9" spans="1:6" x14ac:dyDescent="0.3">
      <c r="A9" s="4" t="s">
        <v>112</v>
      </c>
      <c r="B9" s="7" t="s">
        <v>96</v>
      </c>
      <c r="C9" s="5">
        <v>4.09</v>
      </c>
      <c r="E9" s="3" t="s">
        <v>18</v>
      </c>
      <c r="F9" s="5">
        <v>3.57</v>
      </c>
    </row>
    <row r="10" spans="1:6" x14ac:dyDescent="0.3">
      <c r="A10" s="4" t="s">
        <v>139</v>
      </c>
      <c r="B10" s="7" t="s">
        <v>140</v>
      </c>
      <c r="C10" s="5">
        <v>3.86</v>
      </c>
      <c r="E10" s="3" t="s">
        <v>13</v>
      </c>
      <c r="F10" s="5">
        <v>3.29</v>
      </c>
    </row>
    <row r="11" spans="1:6" x14ac:dyDescent="0.3">
      <c r="A11" s="4" t="s">
        <v>151</v>
      </c>
      <c r="B11" s="7" t="s">
        <v>152</v>
      </c>
      <c r="C11" s="5">
        <v>3.65</v>
      </c>
      <c r="E11" s="3" t="s">
        <v>14</v>
      </c>
      <c r="F11" s="5">
        <v>2.5099999999999998</v>
      </c>
    </row>
    <row r="12" spans="1:6" x14ac:dyDescent="0.3">
      <c r="A12" s="4" t="s">
        <v>74</v>
      </c>
      <c r="B12" s="7" t="s">
        <v>75</v>
      </c>
      <c r="C12" s="5">
        <v>3.61</v>
      </c>
      <c r="E12" s="3" t="s">
        <v>15</v>
      </c>
      <c r="F12" s="5">
        <f>100-SUM(F2:F11)</f>
        <v>1.1900000000000119</v>
      </c>
    </row>
    <row r="13" spans="1:6" x14ac:dyDescent="0.3">
      <c r="A13" s="4" t="s">
        <v>22</v>
      </c>
      <c r="B13" s="7" t="s">
        <v>23</v>
      </c>
      <c r="C13" s="5">
        <v>3.58</v>
      </c>
    </row>
    <row r="14" spans="1:6" x14ac:dyDescent="0.3">
      <c r="A14" s="4" t="s">
        <v>90</v>
      </c>
      <c r="B14" s="7" t="s">
        <v>91</v>
      </c>
      <c r="C14" s="5">
        <v>3.57</v>
      </c>
    </row>
    <row r="15" spans="1:6" x14ac:dyDescent="0.3">
      <c r="A15" s="4" t="s">
        <v>201</v>
      </c>
      <c r="B15" s="7" t="s">
        <v>202</v>
      </c>
      <c r="C15" s="5">
        <v>3.57</v>
      </c>
    </row>
    <row r="16" spans="1:6" x14ac:dyDescent="0.3">
      <c r="A16" s="4" t="s">
        <v>190</v>
      </c>
      <c r="B16" s="7" t="s">
        <v>191</v>
      </c>
      <c r="C16" s="5">
        <v>3.57</v>
      </c>
    </row>
    <row r="17" spans="1:3" x14ac:dyDescent="0.3">
      <c r="A17" s="4" t="s">
        <v>24</v>
      </c>
      <c r="B17" s="7" t="s">
        <v>25</v>
      </c>
      <c r="C17" s="5">
        <v>3.51</v>
      </c>
    </row>
    <row r="18" spans="1:3" x14ac:dyDescent="0.3">
      <c r="A18" s="4" t="s">
        <v>54</v>
      </c>
      <c r="B18" s="7" t="s">
        <v>55</v>
      </c>
      <c r="C18" s="5">
        <v>3.4</v>
      </c>
    </row>
    <row r="19" spans="1:3" x14ac:dyDescent="0.3">
      <c r="A19" s="4" t="s">
        <v>182</v>
      </c>
      <c r="B19" s="7" t="s">
        <v>183</v>
      </c>
      <c r="C19" s="5">
        <v>3.39</v>
      </c>
    </row>
    <row r="20" spans="1:3" x14ac:dyDescent="0.3">
      <c r="A20" s="4" t="s">
        <v>30</v>
      </c>
      <c r="B20" s="7" t="s">
        <v>31</v>
      </c>
      <c r="C20" s="5">
        <v>3.33</v>
      </c>
    </row>
    <row r="21" spans="1:3" x14ac:dyDescent="0.3">
      <c r="A21" s="4" t="s">
        <v>205</v>
      </c>
      <c r="B21" s="7" t="s">
        <v>206</v>
      </c>
      <c r="C21" s="5">
        <v>3.31</v>
      </c>
    </row>
    <row r="22" spans="1:3" x14ac:dyDescent="0.3">
      <c r="A22" s="4" t="s">
        <v>164</v>
      </c>
      <c r="B22" s="7" t="s">
        <v>165</v>
      </c>
      <c r="C22" s="5">
        <v>3.29</v>
      </c>
    </row>
    <row r="23" spans="1:3" x14ac:dyDescent="0.3">
      <c r="A23" s="4" t="s">
        <v>72</v>
      </c>
      <c r="B23" s="7" t="s">
        <v>73</v>
      </c>
      <c r="C23" s="5">
        <v>3.02</v>
      </c>
    </row>
    <row r="24" spans="1:3" x14ac:dyDescent="0.3">
      <c r="A24" s="4" t="s">
        <v>203</v>
      </c>
      <c r="B24" s="7" t="s">
        <v>204</v>
      </c>
      <c r="C24" s="5">
        <v>2.99</v>
      </c>
    </row>
    <row r="25" spans="1:3" x14ac:dyDescent="0.3">
      <c r="A25" s="4" t="s">
        <v>56</v>
      </c>
      <c r="B25" s="7" t="s">
        <v>57</v>
      </c>
      <c r="C25" s="5">
        <v>2.89</v>
      </c>
    </row>
    <row r="26" spans="1:3" x14ac:dyDescent="0.3">
      <c r="A26" s="4" t="s">
        <v>76</v>
      </c>
      <c r="B26" s="7" t="s">
        <v>77</v>
      </c>
      <c r="C26" s="5">
        <v>2.5099999999999998</v>
      </c>
    </row>
    <row r="27" spans="1:3" x14ac:dyDescent="0.3">
      <c r="A27" s="4" t="s">
        <v>50</v>
      </c>
      <c r="B27" s="7" t="s">
        <v>51</v>
      </c>
      <c r="C27" s="5">
        <v>2.11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/>
  </sheetViews>
  <sheetFormatPr defaultRowHeight="14.4" x14ac:dyDescent="0.3"/>
  <cols>
    <col min="1" max="1" width="14" bestFit="1" customWidth="1"/>
    <col min="2" max="2" width="35.5546875" bestFit="1" customWidth="1"/>
    <col min="3" max="3" width="16.21875" bestFit="1" customWidth="1"/>
    <col min="5" max="5" width="31.21875" bestFit="1" customWidth="1"/>
    <col min="6" max="6" width="1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6"/>
      <c r="E1" s="1" t="s">
        <v>3</v>
      </c>
      <c r="F1" s="2" t="s">
        <v>2</v>
      </c>
    </row>
    <row r="2" spans="1:11" x14ac:dyDescent="0.3">
      <c r="A2" s="4" t="s">
        <v>168</v>
      </c>
      <c r="B2" s="3" t="s">
        <v>187</v>
      </c>
      <c r="C2" s="5">
        <v>6.82</v>
      </c>
      <c r="E2" s="3" t="s">
        <v>7</v>
      </c>
      <c r="F2" s="5">
        <v>40.11</v>
      </c>
      <c r="K2" s="8"/>
    </row>
    <row r="3" spans="1:11" x14ac:dyDescent="0.3">
      <c r="A3" s="4" t="s">
        <v>177</v>
      </c>
      <c r="B3" s="3" t="s">
        <v>178</v>
      </c>
      <c r="C3" s="5">
        <v>5.71</v>
      </c>
      <c r="E3" s="3" t="s">
        <v>5</v>
      </c>
      <c r="F3" s="5">
        <v>16.850000000000001</v>
      </c>
      <c r="K3" s="8"/>
    </row>
    <row r="4" spans="1:11" x14ac:dyDescent="0.3">
      <c r="A4" s="4" t="s">
        <v>149</v>
      </c>
      <c r="B4" s="3" t="s">
        <v>150</v>
      </c>
      <c r="C4" s="5">
        <v>5.0599999999999996</v>
      </c>
      <c r="E4" s="3" t="s">
        <v>14</v>
      </c>
      <c r="F4" s="5">
        <v>7.1199999999999992</v>
      </c>
      <c r="K4" s="8"/>
    </row>
    <row r="5" spans="1:11" x14ac:dyDescent="0.3">
      <c r="A5" s="4" t="s">
        <v>213</v>
      </c>
      <c r="B5" s="3" t="s">
        <v>92</v>
      </c>
      <c r="C5" s="5">
        <v>5.01</v>
      </c>
      <c r="E5" s="3" t="s">
        <v>6</v>
      </c>
      <c r="F5" s="5">
        <v>6.91</v>
      </c>
      <c r="K5" s="8"/>
    </row>
    <row r="6" spans="1:11" x14ac:dyDescent="0.3">
      <c r="A6" s="4" t="s">
        <v>147</v>
      </c>
      <c r="B6" s="3" t="s">
        <v>148</v>
      </c>
      <c r="C6" s="5">
        <v>4.33</v>
      </c>
      <c r="E6" s="3" t="s">
        <v>17</v>
      </c>
      <c r="F6" s="5">
        <v>6.3699999999999992</v>
      </c>
      <c r="K6" s="8"/>
    </row>
    <row r="7" spans="1:11" x14ac:dyDescent="0.3">
      <c r="A7" s="4" t="s">
        <v>111</v>
      </c>
      <c r="B7" s="3" t="s">
        <v>95</v>
      </c>
      <c r="C7" s="5">
        <v>3.63</v>
      </c>
      <c r="E7" s="3" t="s">
        <v>11</v>
      </c>
      <c r="F7" s="5">
        <v>5.76</v>
      </c>
      <c r="K7" s="8"/>
    </row>
    <row r="8" spans="1:11" x14ac:dyDescent="0.3">
      <c r="A8" s="4" t="s">
        <v>46</v>
      </c>
      <c r="B8" s="3" t="s">
        <v>47</v>
      </c>
      <c r="C8" s="5">
        <v>3.6</v>
      </c>
      <c r="E8" s="3" t="s">
        <v>9</v>
      </c>
      <c r="F8" s="5">
        <v>4.49</v>
      </c>
      <c r="K8" s="8"/>
    </row>
    <row r="9" spans="1:11" x14ac:dyDescent="0.3">
      <c r="A9" s="4" t="s">
        <v>28</v>
      </c>
      <c r="B9" s="3" t="s">
        <v>29</v>
      </c>
      <c r="C9" s="5">
        <v>3.56</v>
      </c>
      <c r="E9" s="3" t="s">
        <v>13</v>
      </c>
      <c r="F9" s="5">
        <v>4.08</v>
      </c>
      <c r="K9" s="8"/>
    </row>
    <row r="10" spans="1:11" x14ac:dyDescent="0.3">
      <c r="A10" s="4" t="s">
        <v>207</v>
      </c>
      <c r="B10" s="3" t="s">
        <v>208</v>
      </c>
      <c r="C10" s="5">
        <v>3.51</v>
      </c>
      <c r="E10" s="3" t="s">
        <v>8</v>
      </c>
      <c r="F10" s="5">
        <v>2.19</v>
      </c>
      <c r="K10" s="8"/>
    </row>
    <row r="11" spans="1:11" x14ac:dyDescent="0.3">
      <c r="A11" s="4" t="s">
        <v>56</v>
      </c>
      <c r="B11" s="3" t="s">
        <v>57</v>
      </c>
      <c r="C11" s="5">
        <v>3.31</v>
      </c>
      <c r="E11" s="3" t="s">
        <v>19</v>
      </c>
      <c r="F11" s="5">
        <v>2.1</v>
      </c>
      <c r="K11" s="8"/>
    </row>
    <row r="12" spans="1:11" x14ac:dyDescent="0.3">
      <c r="A12" s="4" t="s">
        <v>127</v>
      </c>
      <c r="B12" s="3" t="s">
        <v>128</v>
      </c>
      <c r="C12" s="5">
        <v>3.19</v>
      </c>
      <c r="E12" s="3" t="s">
        <v>15</v>
      </c>
      <c r="F12" s="5">
        <f>100-SUM(F2:F11)</f>
        <v>4.0200000000000102</v>
      </c>
      <c r="K12" s="8"/>
    </row>
    <row r="13" spans="1:11" x14ac:dyDescent="0.3">
      <c r="A13" s="4" t="s">
        <v>86</v>
      </c>
      <c r="B13" s="3" t="s">
        <v>87</v>
      </c>
      <c r="C13" s="5">
        <v>3.01</v>
      </c>
      <c r="K13" s="8"/>
    </row>
    <row r="14" spans="1:11" x14ac:dyDescent="0.3">
      <c r="A14" s="4" t="s">
        <v>201</v>
      </c>
      <c r="B14" s="3" t="s">
        <v>202</v>
      </c>
      <c r="C14" s="5">
        <v>2.95</v>
      </c>
      <c r="I14" s="8"/>
    </row>
    <row r="15" spans="1:11" x14ac:dyDescent="0.3">
      <c r="A15" s="4" t="s">
        <v>66</v>
      </c>
      <c r="B15" s="3" t="s">
        <v>67</v>
      </c>
      <c r="C15" s="5">
        <v>2.93</v>
      </c>
      <c r="K15" s="8"/>
    </row>
    <row r="16" spans="1:11" x14ac:dyDescent="0.3">
      <c r="A16" s="4" t="s">
        <v>197</v>
      </c>
      <c r="B16" s="3" t="s">
        <v>198</v>
      </c>
      <c r="C16" s="5">
        <v>2.89</v>
      </c>
      <c r="K16" s="8"/>
    </row>
    <row r="17" spans="1:11" x14ac:dyDescent="0.3">
      <c r="A17" s="4" t="s">
        <v>103</v>
      </c>
      <c r="B17" s="3" t="s">
        <v>104</v>
      </c>
      <c r="C17" s="5">
        <v>2.86</v>
      </c>
      <c r="I17" s="8"/>
      <c r="K17" s="8"/>
    </row>
    <row r="18" spans="1:11" x14ac:dyDescent="0.3">
      <c r="A18" s="4" t="s">
        <v>139</v>
      </c>
      <c r="B18" s="3" t="s">
        <v>140</v>
      </c>
      <c r="C18" s="5">
        <v>2.82</v>
      </c>
      <c r="H18" s="8"/>
      <c r="J18" s="8"/>
    </row>
    <row r="19" spans="1:11" x14ac:dyDescent="0.3">
      <c r="A19" s="4" t="s">
        <v>78</v>
      </c>
      <c r="B19" s="3" t="s">
        <v>79</v>
      </c>
      <c r="C19" s="5">
        <v>2.8</v>
      </c>
      <c r="J19" s="8"/>
    </row>
    <row r="20" spans="1:11" x14ac:dyDescent="0.3">
      <c r="A20" s="4" t="s">
        <v>129</v>
      </c>
      <c r="B20" s="3" t="s">
        <v>130</v>
      </c>
      <c r="C20" s="5">
        <v>2.78</v>
      </c>
      <c r="J20" s="8"/>
    </row>
    <row r="21" spans="1:11" x14ac:dyDescent="0.3">
      <c r="A21" s="4" t="s">
        <v>52</v>
      </c>
      <c r="B21" s="3" t="s">
        <v>53</v>
      </c>
      <c r="C21" s="5">
        <v>2.68</v>
      </c>
      <c r="J21" s="8"/>
    </row>
    <row r="22" spans="1:11" x14ac:dyDescent="0.3">
      <c r="A22" s="4" t="s">
        <v>180</v>
      </c>
      <c r="B22" s="3" t="s">
        <v>181</v>
      </c>
      <c r="C22" s="5">
        <v>2.44</v>
      </c>
      <c r="J22" s="8"/>
    </row>
    <row r="23" spans="1:11" x14ac:dyDescent="0.3">
      <c r="A23" s="4" t="s">
        <v>58</v>
      </c>
      <c r="B23" s="3" t="s">
        <v>59</v>
      </c>
      <c r="C23" s="5">
        <v>2.2999999999999998</v>
      </c>
      <c r="J23" s="8"/>
    </row>
    <row r="24" spans="1:11" x14ac:dyDescent="0.3">
      <c r="A24" s="4" t="s">
        <v>107</v>
      </c>
      <c r="B24" s="3" t="s">
        <v>108</v>
      </c>
      <c r="C24" s="5">
        <v>2.2200000000000002</v>
      </c>
      <c r="K24" s="8"/>
    </row>
    <row r="25" spans="1:11" x14ac:dyDescent="0.3">
      <c r="A25" s="4" t="s">
        <v>209</v>
      </c>
      <c r="B25" s="3" t="s">
        <v>210</v>
      </c>
      <c r="C25" s="5">
        <v>2.19</v>
      </c>
      <c r="K25" s="8"/>
    </row>
    <row r="26" spans="1:11" x14ac:dyDescent="0.3">
      <c r="A26" s="4" t="s">
        <v>44</v>
      </c>
      <c r="B26" s="3" t="s">
        <v>45</v>
      </c>
      <c r="C26" s="5">
        <v>2.14</v>
      </c>
      <c r="K26" s="8"/>
    </row>
    <row r="27" spans="1:11" x14ac:dyDescent="0.3">
      <c r="A27" s="4" t="s">
        <v>179</v>
      </c>
      <c r="B27" s="3" t="s">
        <v>196</v>
      </c>
      <c r="C27" s="5">
        <v>2.13</v>
      </c>
      <c r="K27" s="8"/>
    </row>
    <row r="28" spans="1:11" x14ac:dyDescent="0.3">
      <c r="A28" s="4" t="s">
        <v>216</v>
      </c>
      <c r="B28" s="3" t="s">
        <v>217</v>
      </c>
      <c r="C28" s="5">
        <v>2.1</v>
      </c>
      <c r="K28" s="8"/>
    </row>
    <row r="29" spans="1:11" x14ac:dyDescent="0.3">
      <c r="A29" s="4" t="s">
        <v>145</v>
      </c>
      <c r="B29" s="3" t="s">
        <v>146</v>
      </c>
      <c r="C29" s="5">
        <v>1.94</v>
      </c>
    </row>
    <row r="30" spans="1:11" x14ac:dyDescent="0.3">
      <c r="A30" s="4" t="s">
        <v>22</v>
      </c>
      <c r="B30" s="3" t="s">
        <v>23</v>
      </c>
      <c r="C30" s="5">
        <v>1.87</v>
      </c>
    </row>
    <row r="31" spans="1:11" x14ac:dyDescent="0.3">
      <c r="A31" s="4" t="s">
        <v>62</v>
      </c>
      <c r="B31" s="3" t="s">
        <v>63</v>
      </c>
      <c r="C31" s="5">
        <v>1.71</v>
      </c>
    </row>
    <row r="32" spans="1:11" x14ac:dyDescent="0.3">
      <c r="A32" s="4" t="s">
        <v>218</v>
      </c>
      <c r="B32" s="3" t="s">
        <v>219</v>
      </c>
      <c r="C32" s="5">
        <v>1.49</v>
      </c>
    </row>
  </sheetData>
  <sortState xmlns:xlrd2="http://schemas.microsoft.com/office/spreadsheetml/2017/richdata2" ref="A2:C28">
    <sortCondition descending="1" ref="C2:C2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A7" sqref="A7"/>
    </sheetView>
  </sheetViews>
  <sheetFormatPr defaultRowHeight="14.4" x14ac:dyDescent="0.3"/>
  <cols>
    <col min="1" max="1" width="14.21875" bestFit="1" customWidth="1"/>
    <col min="2" max="2" width="35" customWidth="1"/>
    <col min="3" max="3" width="16.21875" bestFit="1" customWidth="1"/>
    <col min="5" max="5" width="32.21875" bestFit="1" customWidth="1"/>
    <col min="6" max="6" width="1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6"/>
      <c r="E1" s="1" t="s">
        <v>3</v>
      </c>
      <c r="F1" s="2" t="s">
        <v>2</v>
      </c>
    </row>
    <row r="2" spans="1:6" x14ac:dyDescent="0.3">
      <c r="A2" s="4" t="s">
        <v>111</v>
      </c>
      <c r="B2" s="7" t="s">
        <v>95</v>
      </c>
      <c r="C2" s="5">
        <v>6.96</v>
      </c>
      <c r="E2" s="3" t="s">
        <v>5</v>
      </c>
      <c r="F2" s="5">
        <v>22.12</v>
      </c>
    </row>
    <row r="3" spans="1:6" x14ac:dyDescent="0.3">
      <c r="A3" s="4" t="s">
        <v>68</v>
      </c>
      <c r="B3" s="7" t="s">
        <v>69</v>
      </c>
      <c r="C3" s="5">
        <v>6.56</v>
      </c>
      <c r="E3" s="3" t="s">
        <v>7</v>
      </c>
      <c r="F3" s="5">
        <v>21.769999999999996</v>
      </c>
    </row>
    <row r="4" spans="1:6" x14ac:dyDescent="0.3">
      <c r="A4" s="4" t="s">
        <v>192</v>
      </c>
      <c r="B4" s="7" t="s">
        <v>193</v>
      </c>
      <c r="C4" s="5">
        <v>6.39</v>
      </c>
      <c r="E4" s="3" t="s">
        <v>11</v>
      </c>
      <c r="F4" s="5">
        <v>11.059999999999999</v>
      </c>
    </row>
    <row r="5" spans="1:6" x14ac:dyDescent="0.3">
      <c r="A5" s="4" t="s">
        <v>201</v>
      </c>
      <c r="B5" s="7" t="s">
        <v>202</v>
      </c>
      <c r="C5" s="5">
        <v>6.25</v>
      </c>
      <c r="E5" s="3" t="s">
        <v>12</v>
      </c>
      <c r="F5" s="5">
        <v>6.56</v>
      </c>
    </row>
    <row r="6" spans="1:6" x14ac:dyDescent="0.3">
      <c r="A6" s="4" t="s">
        <v>160</v>
      </c>
      <c r="B6" s="7" t="s">
        <v>161</v>
      </c>
      <c r="C6" s="5">
        <v>6.19</v>
      </c>
      <c r="E6" s="3" t="s">
        <v>10</v>
      </c>
      <c r="F6" s="5">
        <v>6.39</v>
      </c>
    </row>
    <row r="7" spans="1:6" x14ac:dyDescent="0.3">
      <c r="A7" s="4" t="s">
        <v>78</v>
      </c>
      <c r="B7" s="7" t="s">
        <v>79</v>
      </c>
      <c r="C7" s="5">
        <v>5.78</v>
      </c>
      <c r="E7" s="3" t="s">
        <v>8</v>
      </c>
      <c r="F7" s="5">
        <v>6.16</v>
      </c>
    </row>
    <row r="8" spans="1:6" x14ac:dyDescent="0.3">
      <c r="A8" s="4" t="s">
        <v>213</v>
      </c>
      <c r="B8" s="7" t="s">
        <v>92</v>
      </c>
      <c r="C8" s="5">
        <v>5.56</v>
      </c>
      <c r="E8" s="3" t="s">
        <v>6</v>
      </c>
      <c r="F8" s="5">
        <v>6.14</v>
      </c>
    </row>
    <row r="9" spans="1:6" x14ac:dyDescent="0.3">
      <c r="A9" s="4" t="s">
        <v>80</v>
      </c>
      <c r="B9" s="7" t="s">
        <v>81</v>
      </c>
      <c r="C9" s="5">
        <v>5.49</v>
      </c>
      <c r="E9" s="3" t="s">
        <v>13</v>
      </c>
      <c r="F9" s="5">
        <v>5.59</v>
      </c>
    </row>
    <row r="10" spans="1:6" x14ac:dyDescent="0.3">
      <c r="A10" s="4" t="s">
        <v>175</v>
      </c>
      <c r="B10" s="7" t="s">
        <v>176</v>
      </c>
      <c r="C10" s="5">
        <v>5.15</v>
      </c>
      <c r="E10" s="3" t="s">
        <v>14</v>
      </c>
      <c r="F10" s="5">
        <v>4.68</v>
      </c>
    </row>
    <row r="11" spans="1:6" x14ac:dyDescent="0.3">
      <c r="A11" s="4" t="s">
        <v>109</v>
      </c>
      <c r="B11" s="7" t="s">
        <v>110</v>
      </c>
      <c r="C11" s="5">
        <v>4.83</v>
      </c>
      <c r="E11" s="3" t="s">
        <v>17</v>
      </c>
      <c r="F11" s="5">
        <v>3.96</v>
      </c>
    </row>
    <row r="12" spans="1:6" x14ac:dyDescent="0.3">
      <c r="A12" s="4" t="s">
        <v>171</v>
      </c>
      <c r="B12" s="7" t="s">
        <v>172</v>
      </c>
      <c r="C12" s="5">
        <v>4.8099999999999996</v>
      </c>
      <c r="E12" s="3" t="s">
        <v>18</v>
      </c>
      <c r="F12" s="5">
        <v>3.39</v>
      </c>
    </row>
    <row r="13" spans="1:6" x14ac:dyDescent="0.3">
      <c r="A13" s="4" t="s">
        <v>36</v>
      </c>
      <c r="B13" s="7" t="s">
        <v>37</v>
      </c>
      <c r="C13" s="5">
        <v>4.0999999999999996</v>
      </c>
      <c r="E13" s="3" t="s">
        <v>21</v>
      </c>
      <c r="F13" s="5">
        <v>1.7</v>
      </c>
    </row>
    <row r="14" spans="1:6" x14ac:dyDescent="0.3">
      <c r="A14" s="4" t="s">
        <v>211</v>
      </c>
      <c r="B14" s="7" t="s">
        <v>212</v>
      </c>
      <c r="C14" s="5">
        <v>3.96</v>
      </c>
      <c r="E14" s="3" t="s">
        <v>15</v>
      </c>
      <c r="F14" s="5">
        <f>100-SUM(F2:F13)</f>
        <v>0.48000000000000398</v>
      </c>
    </row>
    <row r="15" spans="1:6" x14ac:dyDescent="0.3">
      <c r="A15" s="4" t="s">
        <v>194</v>
      </c>
      <c r="B15" s="7" t="s">
        <v>195</v>
      </c>
      <c r="C15" s="5">
        <v>3.47</v>
      </c>
    </row>
    <row r="16" spans="1:6" x14ac:dyDescent="0.3">
      <c r="A16" s="4" t="s">
        <v>158</v>
      </c>
      <c r="B16" s="7" t="s">
        <v>159</v>
      </c>
      <c r="C16" s="5">
        <v>3.41</v>
      </c>
    </row>
    <row r="17" spans="1:3" x14ac:dyDescent="0.3">
      <c r="A17" s="4" t="s">
        <v>90</v>
      </c>
      <c r="B17" s="7" t="s">
        <v>91</v>
      </c>
      <c r="C17" s="5">
        <v>3.39</v>
      </c>
    </row>
    <row r="18" spans="1:3" x14ac:dyDescent="0.3">
      <c r="A18" s="4" t="s">
        <v>30</v>
      </c>
      <c r="B18" s="7" t="s">
        <v>31</v>
      </c>
      <c r="C18" s="5">
        <v>3.34</v>
      </c>
    </row>
    <row r="19" spans="1:3" x14ac:dyDescent="0.3">
      <c r="A19" s="4" t="s">
        <v>99</v>
      </c>
      <c r="B19" s="7" t="s">
        <v>100</v>
      </c>
      <c r="C19" s="5">
        <v>3.05</v>
      </c>
    </row>
    <row r="20" spans="1:3" x14ac:dyDescent="0.3">
      <c r="A20" s="4" t="s">
        <v>173</v>
      </c>
      <c r="B20" s="7" t="s">
        <v>174</v>
      </c>
      <c r="C20" s="5">
        <v>2.8</v>
      </c>
    </row>
    <row r="21" spans="1:3" x14ac:dyDescent="0.3">
      <c r="A21" s="4" t="s">
        <v>209</v>
      </c>
      <c r="B21" s="7" t="s">
        <v>210</v>
      </c>
      <c r="C21" s="5">
        <v>2.69</v>
      </c>
    </row>
    <row r="22" spans="1:3" x14ac:dyDescent="0.3">
      <c r="A22" s="4" t="s">
        <v>64</v>
      </c>
      <c r="B22" s="7" t="s">
        <v>65</v>
      </c>
      <c r="C22" s="5">
        <v>2.27</v>
      </c>
    </row>
    <row r="23" spans="1:3" x14ac:dyDescent="0.3">
      <c r="A23" s="4" t="s">
        <v>84</v>
      </c>
      <c r="B23" s="7" t="s">
        <v>85</v>
      </c>
      <c r="C23" s="5">
        <v>1.7</v>
      </c>
    </row>
    <row r="24" spans="1:3" x14ac:dyDescent="0.3">
      <c r="A24" s="4" t="s">
        <v>214</v>
      </c>
      <c r="B24" s="7" t="s">
        <v>215</v>
      </c>
      <c r="C24" s="5">
        <v>1.27</v>
      </c>
    </row>
    <row r="25" spans="1:3" x14ac:dyDescent="0.3">
      <c r="A25" s="4" t="s">
        <v>162</v>
      </c>
      <c r="B25" s="7" t="s">
        <v>163</v>
      </c>
      <c r="C25" s="5">
        <v>0.1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zoomScaleNormal="100" workbookViewId="0">
      <selection activeCell="D2" sqref="D2"/>
    </sheetView>
  </sheetViews>
  <sheetFormatPr defaultRowHeight="14.4" x14ac:dyDescent="0.3"/>
  <cols>
    <col min="1" max="1" width="13.5546875" bestFit="1" customWidth="1"/>
    <col min="2" max="2" width="36.5546875" bestFit="1" customWidth="1"/>
    <col min="3" max="3" width="15.77734375" bestFit="1" customWidth="1"/>
    <col min="4" max="4" width="15.77734375" customWidth="1"/>
    <col min="5" max="5" width="28.21875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6"/>
      <c r="E1" s="1" t="s">
        <v>3</v>
      </c>
      <c r="F1" s="2" t="s">
        <v>2</v>
      </c>
    </row>
    <row r="2" spans="1:6" x14ac:dyDescent="0.3">
      <c r="A2" s="3" t="s">
        <v>105</v>
      </c>
      <c r="B2" s="3" t="s">
        <v>106</v>
      </c>
      <c r="C2" s="5">
        <v>5.92</v>
      </c>
      <c r="E2" s="3" t="s">
        <v>7</v>
      </c>
      <c r="F2" s="5">
        <v>30.319999999999997</v>
      </c>
    </row>
    <row r="3" spans="1:6" x14ac:dyDescent="0.3">
      <c r="A3" s="3" t="s">
        <v>70</v>
      </c>
      <c r="B3" s="3" t="s">
        <v>71</v>
      </c>
      <c r="C3" s="5">
        <v>5.85</v>
      </c>
      <c r="E3" s="3" t="s">
        <v>5</v>
      </c>
      <c r="F3" s="5">
        <v>26.46</v>
      </c>
    </row>
    <row r="4" spans="1:6" x14ac:dyDescent="0.3">
      <c r="A4" s="3" t="s">
        <v>168</v>
      </c>
      <c r="B4" s="3" t="s">
        <v>187</v>
      </c>
      <c r="C4" s="5">
        <v>5.24</v>
      </c>
      <c r="E4" s="3" t="s">
        <v>10</v>
      </c>
      <c r="F4" s="5">
        <v>6.63</v>
      </c>
    </row>
    <row r="5" spans="1:6" x14ac:dyDescent="0.3">
      <c r="A5" s="3" t="s">
        <v>60</v>
      </c>
      <c r="B5" s="3" t="s">
        <v>61</v>
      </c>
      <c r="C5" s="5">
        <v>4.97</v>
      </c>
      <c r="E5" s="3" t="s">
        <v>13</v>
      </c>
      <c r="F5" s="5">
        <v>5.99</v>
      </c>
    </row>
    <row r="6" spans="1:6" x14ac:dyDescent="0.3">
      <c r="A6" s="3" t="s">
        <v>190</v>
      </c>
      <c r="B6" s="3" t="s">
        <v>191</v>
      </c>
      <c r="C6" s="5">
        <v>4.66</v>
      </c>
      <c r="E6" s="3" t="s">
        <v>8</v>
      </c>
      <c r="F6" s="5">
        <v>4.97</v>
      </c>
    </row>
    <row r="7" spans="1:6" x14ac:dyDescent="0.3">
      <c r="A7" s="3" t="s">
        <v>201</v>
      </c>
      <c r="B7" s="3" t="s">
        <v>202</v>
      </c>
      <c r="C7" s="5">
        <v>4.3499999999999996</v>
      </c>
      <c r="E7" s="3" t="s">
        <v>17</v>
      </c>
      <c r="F7" s="5">
        <v>4.12</v>
      </c>
    </row>
    <row r="8" spans="1:6" x14ac:dyDescent="0.3">
      <c r="A8" s="3" t="s">
        <v>139</v>
      </c>
      <c r="B8" s="3" t="s">
        <v>140</v>
      </c>
      <c r="C8" s="5">
        <v>4.13</v>
      </c>
      <c r="E8" s="3" t="s">
        <v>12</v>
      </c>
      <c r="F8" s="5">
        <v>3.81</v>
      </c>
    </row>
    <row r="9" spans="1:6" x14ac:dyDescent="0.3">
      <c r="A9" s="3" t="s">
        <v>169</v>
      </c>
      <c r="B9" s="3" t="s">
        <v>170</v>
      </c>
      <c r="C9" s="5">
        <v>4.12</v>
      </c>
      <c r="E9" s="3" t="s">
        <v>6</v>
      </c>
      <c r="F9" s="5">
        <v>3.8</v>
      </c>
    </row>
    <row r="10" spans="1:6" x14ac:dyDescent="0.3">
      <c r="A10" s="3" t="s">
        <v>74</v>
      </c>
      <c r="B10" s="3" t="s">
        <v>75</v>
      </c>
      <c r="C10" s="5">
        <v>4.1100000000000003</v>
      </c>
      <c r="E10" s="3" t="s">
        <v>9</v>
      </c>
      <c r="F10" s="5">
        <v>3.79</v>
      </c>
    </row>
    <row r="11" spans="1:6" x14ac:dyDescent="0.3">
      <c r="A11" s="3" t="s">
        <v>32</v>
      </c>
      <c r="B11" s="3" t="s">
        <v>33</v>
      </c>
      <c r="C11" s="5">
        <v>3.88</v>
      </c>
      <c r="E11" s="3" t="s">
        <v>11</v>
      </c>
      <c r="F11" s="5">
        <v>3.6</v>
      </c>
    </row>
    <row r="12" spans="1:6" x14ac:dyDescent="0.3">
      <c r="A12" s="3" t="s">
        <v>24</v>
      </c>
      <c r="B12" s="3" t="s">
        <v>25</v>
      </c>
      <c r="C12" s="5">
        <v>3.83</v>
      </c>
      <c r="E12" s="3" t="s">
        <v>16</v>
      </c>
      <c r="F12" s="5">
        <v>2.99</v>
      </c>
    </row>
    <row r="13" spans="1:6" x14ac:dyDescent="0.3">
      <c r="A13" s="3" t="s">
        <v>68</v>
      </c>
      <c r="B13" s="3" t="s">
        <v>69</v>
      </c>
      <c r="C13" s="5">
        <v>3.81</v>
      </c>
      <c r="E13" s="3" t="s">
        <v>14</v>
      </c>
      <c r="F13" s="5">
        <v>2.66</v>
      </c>
    </row>
    <row r="14" spans="1:6" x14ac:dyDescent="0.3">
      <c r="A14" s="3" t="s">
        <v>30</v>
      </c>
      <c r="B14" s="3" t="s">
        <v>31</v>
      </c>
      <c r="C14" s="5">
        <v>3.8</v>
      </c>
      <c r="E14" s="3" t="s">
        <v>15</v>
      </c>
      <c r="F14" s="5">
        <f>100-SUM(F2:F13)</f>
        <v>0.85999999999999943</v>
      </c>
    </row>
    <row r="15" spans="1:6" x14ac:dyDescent="0.3">
      <c r="A15" s="3" t="s">
        <v>52</v>
      </c>
      <c r="B15" s="3" t="s">
        <v>53</v>
      </c>
      <c r="C15" s="5">
        <v>3.79</v>
      </c>
    </row>
    <row r="16" spans="1:6" x14ac:dyDescent="0.3">
      <c r="A16" s="3" t="s">
        <v>62</v>
      </c>
      <c r="B16" s="3" t="s">
        <v>63</v>
      </c>
      <c r="C16" s="5">
        <v>3.79</v>
      </c>
    </row>
    <row r="17" spans="1:3" x14ac:dyDescent="0.3">
      <c r="A17" s="3" t="s">
        <v>101</v>
      </c>
      <c r="B17" s="3" t="s">
        <v>102</v>
      </c>
      <c r="C17" s="5">
        <v>3.57</v>
      </c>
    </row>
    <row r="18" spans="1:3" x14ac:dyDescent="0.3">
      <c r="A18" s="3" t="s">
        <v>22</v>
      </c>
      <c r="B18" s="3" t="s">
        <v>23</v>
      </c>
      <c r="C18" s="5">
        <v>3.24</v>
      </c>
    </row>
    <row r="19" spans="1:3" x14ac:dyDescent="0.3">
      <c r="A19" s="3" t="s">
        <v>188</v>
      </c>
      <c r="B19" s="3" t="s">
        <v>189</v>
      </c>
      <c r="C19" s="5">
        <v>3.22</v>
      </c>
    </row>
    <row r="20" spans="1:3" x14ac:dyDescent="0.3">
      <c r="A20" s="3" t="s">
        <v>131</v>
      </c>
      <c r="B20" s="3" t="s">
        <v>132</v>
      </c>
      <c r="C20" s="5">
        <v>2.99</v>
      </c>
    </row>
    <row r="21" spans="1:3" x14ac:dyDescent="0.3">
      <c r="A21" s="3" t="s">
        <v>143</v>
      </c>
      <c r="B21" s="3" t="s">
        <v>144</v>
      </c>
      <c r="C21" s="5">
        <v>2.83</v>
      </c>
    </row>
    <row r="22" spans="1:3" x14ac:dyDescent="0.3">
      <c r="A22" s="3" t="s">
        <v>54</v>
      </c>
      <c r="B22" s="3" t="s">
        <v>55</v>
      </c>
      <c r="C22" s="5">
        <v>2.8</v>
      </c>
    </row>
    <row r="23" spans="1:3" x14ac:dyDescent="0.3">
      <c r="A23" s="3" t="s">
        <v>156</v>
      </c>
      <c r="B23" s="3" t="s">
        <v>157</v>
      </c>
      <c r="C23" s="5">
        <v>2.77</v>
      </c>
    </row>
    <row r="24" spans="1:3" x14ac:dyDescent="0.3">
      <c r="A24" s="3" t="s">
        <v>72</v>
      </c>
      <c r="B24" s="3" t="s">
        <v>73</v>
      </c>
      <c r="C24" s="5">
        <v>2.76</v>
      </c>
    </row>
    <row r="25" spans="1:3" x14ac:dyDescent="0.3">
      <c r="A25" s="3" t="s">
        <v>76</v>
      </c>
      <c r="B25" s="3" t="s">
        <v>77</v>
      </c>
      <c r="C25" s="5">
        <v>2.66</v>
      </c>
    </row>
    <row r="26" spans="1:3" x14ac:dyDescent="0.3">
      <c r="A26" s="3" t="s">
        <v>107</v>
      </c>
      <c r="B26" s="3" t="s">
        <v>108</v>
      </c>
      <c r="C26" s="5">
        <v>2.4500000000000002</v>
      </c>
    </row>
    <row r="27" spans="1:3" x14ac:dyDescent="0.3">
      <c r="A27" s="3" t="s">
        <v>141</v>
      </c>
      <c r="B27" s="3" t="s">
        <v>142</v>
      </c>
      <c r="C27" s="5">
        <v>2.35</v>
      </c>
    </row>
    <row r="28" spans="1:3" x14ac:dyDescent="0.3">
      <c r="A28" s="3" t="s">
        <v>50</v>
      </c>
      <c r="B28" s="3" t="s">
        <v>51</v>
      </c>
      <c r="C28" s="5">
        <v>1.25</v>
      </c>
    </row>
  </sheetData>
  <sortState xmlns:xlrd2="http://schemas.microsoft.com/office/spreadsheetml/2017/richdata2" ref="A2:C26">
    <sortCondition descending="1" ref="C2:C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>
      <selection activeCell="E13" sqref="E13"/>
    </sheetView>
  </sheetViews>
  <sheetFormatPr defaultRowHeight="14.4" x14ac:dyDescent="0.3"/>
  <cols>
    <col min="1" max="1" width="12.77734375" bestFit="1" customWidth="1"/>
    <col min="2" max="2" width="36.5546875" bestFit="1" customWidth="1"/>
    <col min="3" max="3" width="15.77734375" bestFit="1" customWidth="1"/>
    <col min="4" max="4" width="15.77734375" customWidth="1"/>
    <col min="5" max="5" width="24" bestFit="1" customWidth="1"/>
    <col min="6" max="6" width="1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6"/>
      <c r="E1" s="1" t="s">
        <v>3</v>
      </c>
      <c r="F1" s="2" t="s">
        <v>2</v>
      </c>
    </row>
    <row r="2" spans="1:6" x14ac:dyDescent="0.3">
      <c r="A2" s="3" t="s">
        <v>168</v>
      </c>
      <c r="B2" s="3" t="s">
        <v>187</v>
      </c>
      <c r="C2" s="5">
        <v>6.4</v>
      </c>
      <c r="E2" s="3" t="s">
        <v>7</v>
      </c>
      <c r="F2" s="5">
        <v>31.900000000000006</v>
      </c>
    </row>
    <row r="3" spans="1:6" x14ac:dyDescent="0.3">
      <c r="A3" s="3" t="s">
        <v>213</v>
      </c>
      <c r="B3" s="3" t="s">
        <v>92</v>
      </c>
      <c r="C3" s="5">
        <v>6.23</v>
      </c>
      <c r="E3" s="3" t="s">
        <v>5</v>
      </c>
      <c r="F3" s="5">
        <v>28.1</v>
      </c>
    </row>
    <row r="4" spans="1:6" x14ac:dyDescent="0.3">
      <c r="A4" s="3" t="s">
        <v>46</v>
      </c>
      <c r="B4" s="3" t="s">
        <v>47</v>
      </c>
      <c r="C4" s="5">
        <v>4.91</v>
      </c>
      <c r="E4" s="3" t="s">
        <v>6</v>
      </c>
      <c r="F4" s="5">
        <v>10.52</v>
      </c>
    </row>
    <row r="5" spans="1:6" x14ac:dyDescent="0.3">
      <c r="A5" s="3" t="s">
        <v>199</v>
      </c>
      <c r="B5" s="3" t="s">
        <v>200</v>
      </c>
      <c r="C5" s="5">
        <v>4.6100000000000003</v>
      </c>
      <c r="E5" s="3" t="s">
        <v>13</v>
      </c>
      <c r="F5" s="5">
        <v>6.15</v>
      </c>
    </row>
    <row r="6" spans="1:6" x14ac:dyDescent="0.3">
      <c r="A6" s="3" t="s">
        <v>177</v>
      </c>
      <c r="B6" s="3" t="s">
        <v>178</v>
      </c>
      <c r="C6" s="5">
        <v>4.21</v>
      </c>
      <c r="E6" s="3" t="s">
        <v>14</v>
      </c>
      <c r="F6" s="5">
        <v>4.79</v>
      </c>
    </row>
    <row r="7" spans="1:6" x14ac:dyDescent="0.3">
      <c r="A7" s="3" t="s">
        <v>113</v>
      </c>
      <c r="B7" s="3" t="s">
        <v>114</v>
      </c>
      <c r="C7" s="5">
        <v>4.04</v>
      </c>
      <c r="E7" s="3" t="s">
        <v>11</v>
      </c>
      <c r="F7" s="5">
        <v>3.31</v>
      </c>
    </row>
    <row r="8" spans="1:6" x14ac:dyDescent="0.3">
      <c r="A8" s="3" t="s">
        <v>40</v>
      </c>
      <c r="B8" s="3" t="s">
        <v>41</v>
      </c>
      <c r="C8" s="5">
        <v>3.9</v>
      </c>
      <c r="E8" s="3" t="s">
        <v>8</v>
      </c>
      <c r="F8" s="5">
        <v>2.94</v>
      </c>
    </row>
    <row r="9" spans="1:6" x14ac:dyDescent="0.3">
      <c r="A9" s="3" t="s">
        <v>99</v>
      </c>
      <c r="B9" s="3" t="s">
        <v>100</v>
      </c>
      <c r="C9" s="5">
        <v>3.89</v>
      </c>
      <c r="E9" s="3" t="s">
        <v>9</v>
      </c>
      <c r="F9" s="5">
        <v>2.88</v>
      </c>
    </row>
    <row r="10" spans="1:6" x14ac:dyDescent="0.3">
      <c r="A10" s="3" t="s">
        <v>109</v>
      </c>
      <c r="B10" s="3" t="s">
        <v>110</v>
      </c>
      <c r="C10" s="5">
        <v>3.88</v>
      </c>
      <c r="E10" s="3" t="s">
        <v>17</v>
      </c>
      <c r="F10" s="5">
        <v>2.68</v>
      </c>
    </row>
    <row r="11" spans="1:6" x14ac:dyDescent="0.3">
      <c r="A11" s="3" t="s">
        <v>149</v>
      </c>
      <c r="B11" s="3" t="s">
        <v>150</v>
      </c>
      <c r="C11" s="5">
        <v>3.6</v>
      </c>
      <c r="E11" s="3" t="s">
        <v>20</v>
      </c>
      <c r="F11" s="5">
        <v>2.61</v>
      </c>
    </row>
    <row r="12" spans="1:6" x14ac:dyDescent="0.3">
      <c r="A12" s="3" t="s">
        <v>52</v>
      </c>
      <c r="B12" s="3" t="s">
        <v>53</v>
      </c>
      <c r="C12" s="5">
        <v>3.56</v>
      </c>
      <c r="E12" s="3" t="s">
        <v>19</v>
      </c>
      <c r="F12" s="5">
        <v>2.38</v>
      </c>
    </row>
    <row r="13" spans="1:6" x14ac:dyDescent="0.3">
      <c r="A13" s="3" t="s">
        <v>107</v>
      </c>
      <c r="B13" s="3" t="s">
        <v>108</v>
      </c>
      <c r="C13" s="5">
        <v>3.51</v>
      </c>
      <c r="E13" s="3" t="s">
        <v>15</v>
      </c>
      <c r="F13" s="5">
        <f>100-SUM(F2:F12)</f>
        <v>1.7399999999999807</v>
      </c>
    </row>
    <row r="14" spans="1:6" x14ac:dyDescent="0.3">
      <c r="A14" s="3" t="s">
        <v>26</v>
      </c>
      <c r="B14" s="3" t="s">
        <v>27</v>
      </c>
      <c r="C14" s="5">
        <v>3.43</v>
      </c>
    </row>
    <row r="15" spans="1:6" x14ac:dyDescent="0.3">
      <c r="A15" s="3" t="s">
        <v>86</v>
      </c>
      <c r="B15" s="3" t="s">
        <v>87</v>
      </c>
      <c r="C15" s="5">
        <v>3.1</v>
      </c>
    </row>
    <row r="16" spans="1:6" x14ac:dyDescent="0.3">
      <c r="A16" s="3" t="s">
        <v>60</v>
      </c>
      <c r="B16" s="3" t="s">
        <v>61</v>
      </c>
      <c r="C16" s="5">
        <v>2.94</v>
      </c>
    </row>
    <row r="17" spans="1:3" x14ac:dyDescent="0.3">
      <c r="A17" s="3" t="s">
        <v>56</v>
      </c>
      <c r="B17" s="3" t="s">
        <v>57</v>
      </c>
      <c r="C17" s="5">
        <v>2.88</v>
      </c>
    </row>
    <row r="18" spans="1:3" x14ac:dyDescent="0.3">
      <c r="A18" s="3" t="s">
        <v>62</v>
      </c>
      <c r="B18" s="3" t="s">
        <v>63</v>
      </c>
      <c r="C18" s="5">
        <v>2.88</v>
      </c>
    </row>
    <row r="19" spans="1:3" x14ac:dyDescent="0.3">
      <c r="A19" s="3" t="s">
        <v>184</v>
      </c>
      <c r="B19" s="3" t="s">
        <v>220</v>
      </c>
      <c r="C19" s="5">
        <v>2.73</v>
      </c>
    </row>
    <row r="20" spans="1:3" x14ac:dyDescent="0.3">
      <c r="A20" s="3" t="s">
        <v>103</v>
      </c>
      <c r="B20" s="3" t="s">
        <v>104</v>
      </c>
      <c r="C20" s="5">
        <v>2.68</v>
      </c>
    </row>
    <row r="21" spans="1:3" x14ac:dyDescent="0.3">
      <c r="A21" s="3" t="s">
        <v>82</v>
      </c>
      <c r="B21" s="3" t="s">
        <v>83</v>
      </c>
      <c r="C21" s="5">
        <v>2.61</v>
      </c>
    </row>
    <row r="22" spans="1:3" x14ac:dyDescent="0.3">
      <c r="A22" s="3" t="s">
        <v>22</v>
      </c>
      <c r="B22" s="3" t="s">
        <v>23</v>
      </c>
      <c r="C22" s="5">
        <v>2.54</v>
      </c>
    </row>
    <row r="23" spans="1:3" x14ac:dyDescent="0.3">
      <c r="A23" s="3" t="s">
        <v>42</v>
      </c>
      <c r="B23" s="3" t="s">
        <v>43</v>
      </c>
      <c r="C23" s="5">
        <v>2.46</v>
      </c>
    </row>
    <row r="24" spans="1:3" x14ac:dyDescent="0.3">
      <c r="A24" s="3" t="s">
        <v>58</v>
      </c>
      <c r="B24" s="3" t="s">
        <v>59</v>
      </c>
      <c r="C24" s="5">
        <v>2.44</v>
      </c>
    </row>
    <row r="25" spans="1:3" x14ac:dyDescent="0.3">
      <c r="A25" s="3" t="s">
        <v>127</v>
      </c>
      <c r="B25" s="3" t="s">
        <v>128</v>
      </c>
      <c r="C25" s="5">
        <v>2.4300000000000002</v>
      </c>
    </row>
    <row r="26" spans="1:3" x14ac:dyDescent="0.3">
      <c r="A26" s="3" t="s">
        <v>88</v>
      </c>
      <c r="B26" s="3" t="s">
        <v>89</v>
      </c>
      <c r="C26" s="5">
        <v>2.38</v>
      </c>
    </row>
    <row r="27" spans="1:3" x14ac:dyDescent="0.3">
      <c r="A27" s="3" t="s">
        <v>185</v>
      </c>
      <c r="B27" s="3" t="s">
        <v>186</v>
      </c>
      <c r="C27" s="5">
        <v>2.36</v>
      </c>
    </row>
    <row r="28" spans="1:3" x14ac:dyDescent="0.3">
      <c r="A28" s="3" t="s">
        <v>166</v>
      </c>
      <c r="B28" s="3" t="s">
        <v>167</v>
      </c>
      <c r="C28" s="5">
        <v>2.25</v>
      </c>
    </row>
    <row r="29" spans="1:3" x14ac:dyDescent="0.3">
      <c r="A29" s="3" t="s">
        <v>66</v>
      </c>
      <c r="B29" s="3" t="s">
        <v>67</v>
      </c>
      <c r="C29" s="5">
        <v>2.1</v>
      </c>
    </row>
    <row r="30" spans="1:3" x14ac:dyDescent="0.3">
      <c r="A30" s="3" t="s">
        <v>153</v>
      </c>
      <c r="B30" s="3" t="s">
        <v>154</v>
      </c>
      <c r="C30" s="5">
        <v>1.56</v>
      </c>
    </row>
    <row r="31" spans="1:3" x14ac:dyDescent="0.3">
      <c r="A31" s="3" t="s">
        <v>139</v>
      </c>
      <c r="B31" s="3" t="s">
        <v>140</v>
      </c>
      <c r="C31" s="5">
        <v>0.9</v>
      </c>
    </row>
    <row r="32" spans="1:3" x14ac:dyDescent="0.3">
      <c r="A32" s="3" t="s">
        <v>179</v>
      </c>
      <c r="B32" s="3" t="s">
        <v>196</v>
      </c>
      <c r="C32" s="5">
        <v>0.85</v>
      </c>
    </row>
  </sheetData>
  <sortState xmlns:xlrd2="http://schemas.microsoft.com/office/spreadsheetml/2017/richdata2" ref="A2:C28">
    <sortCondition descending="1" ref="C2:C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zoomScaleNormal="100" workbookViewId="0">
      <selection activeCell="C2" sqref="C2"/>
    </sheetView>
  </sheetViews>
  <sheetFormatPr defaultRowHeight="14.4" x14ac:dyDescent="0.3"/>
  <cols>
    <col min="1" max="1" width="13.44140625" bestFit="1" customWidth="1"/>
    <col min="2" max="2" width="37.21875" bestFit="1" customWidth="1"/>
    <col min="3" max="3" width="16.21875" bestFit="1" customWidth="1"/>
    <col min="5" max="5" width="28.21875" bestFit="1" customWidth="1"/>
    <col min="6" max="6" width="16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6"/>
      <c r="E1" s="1" t="s">
        <v>3</v>
      </c>
      <c r="F1" s="2" t="s">
        <v>2</v>
      </c>
    </row>
    <row r="2" spans="1:6" x14ac:dyDescent="0.3">
      <c r="A2" s="4" t="s">
        <v>137</v>
      </c>
      <c r="B2" s="7" t="s">
        <v>138</v>
      </c>
      <c r="C2" s="5">
        <v>7.43</v>
      </c>
      <c r="D2" s="9"/>
      <c r="E2" s="3" t="s">
        <v>5</v>
      </c>
      <c r="F2" s="5">
        <v>39.43</v>
      </c>
    </row>
    <row r="3" spans="1:6" x14ac:dyDescent="0.3">
      <c r="A3" s="4" t="s">
        <v>28</v>
      </c>
      <c r="B3" s="7" t="s">
        <v>29</v>
      </c>
      <c r="C3" s="5">
        <v>6.84</v>
      </c>
      <c r="D3" s="9"/>
      <c r="E3" s="3" t="s">
        <v>11</v>
      </c>
      <c r="F3" s="5">
        <v>18.96</v>
      </c>
    </row>
    <row r="4" spans="1:6" x14ac:dyDescent="0.3">
      <c r="A4" s="4" t="s">
        <v>42</v>
      </c>
      <c r="B4" s="7" t="s">
        <v>43</v>
      </c>
      <c r="C4" s="5">
        <v>6.81</v>
      </c>
      <c r="D4" s="9"/>
      <c r="E4" s="3" t="s">
        <v>6</v>
      </c>
      <c r="F4" s="5">
        <v>15.14</v>
      </c>
    </row>
    <row r="5" spans="1:6" x14ac:dyDescent="0.3">
      <c r="A5" s="4" t="s">
        <v>133</v>
      </c>
      <c r="B5" s="7" t="s">
        <v>134</v>
      </c>
      <c r="C5" s="5">
        <v>6.57</v>
      </c>
      <c r="D5" s="9"/>
      <c r="E5" s="3" t="s">
        <v>13</v>
      </c>
      <c r="F5" s="5">
        <v>10.39</v>
      </c>
    </row>
    <row r="6" spans="1:6" x14ac:dyDescent="0.3">
      <c r="A6" s="4" t="s">
        <v>40</v>
      </c>
      <c r="B6" s="7" t="s">
        <v>41</v>
      </c>
      <c r="C6" s="5">
        <v>6.3</v>
      </c>
      <c r="D6" s="9"/>
      <c r="E6" s="3" t="s">
        <v>14</v>
      </c>
      <c r="F6" s="5">
        <v>6.57</v>
      </c>
    </row>
    <row r="7" spans="1:6" x14ac:dyDescent="0.3">
      <c r="A7" s="4" t="s">
        <v>135</v>
      </c>
      <c r="B7" s="7" t="s">
        <v>136</v>
      </c>
      <c r="C7" s="5">
        <v>6.16</v>
      </c>
      <c r="D7" s="9"/>
      <c r="E7" s="3" t="s">
        <v>155</v>
      </c>
      <c r="F7" s="5">
        <v>6.16</v>
      </c>
    </row>
    <row r="8" spans="1:6" x14ac:dyDescent="0.3">
      <c r="A8" s="4" t="s">
        <v>22</v>
      </c>
      <c r="B8" s="7" t="s">
        <v>23</v>
      </c>
      <c r="C8" s="5">
        <v>6.1</v>
      </c>
      <c r="D8" s="9"/>
      <c r="E8" s="3" t="s">
        <v>10</v>
      </c>
      <c r="F8" s="5">
        <v>3.15</v>
      </c>
    </row>
    <row r="9" spans="1:6" x14ac:dyDescent="0.3">
      <c r="A9" s="4" t="s">
        <v>30</v>
      </c>
      <c r="B9" s="7" t="s">
        <v>31</v>
      </c>
      <c r="C9" s="5">
        <v>5.68</v>
      </c>
      <c r="D9" s="9"/>
      <c r="E9" s="3" t="s">
        <v>15</v>
      </c>
      <c r="F9" s="5">
        <f>100-SUM(F2:F8)</f>
        <v>0.19999999999998863</v>
      </c>
    </row>
    <row r="10" spans="1:6" x14ac:dyDescent="0.3">
      <c r="A10" s="4" t="s">
        <v>113</v>
      </c>
      <c r="B10" s="7" t="s">
        <v>114</v>
      </c>
      <c r="C10" s="5">
        <v>5.5</v>
      </c>
      <c r="D10" s="9"/>
    </row>
    <row r="11" spans="1:6" x14ac:dyDescent="0.3">
      <c r="A11" s="4" t="s">
        <v>32</v>
      </c>
      <c r="B11" s="7" t="s">
        <v>33</v>
      </c>
      <c r="C11" s="5">
        <v>4.99</v>
      </c>
      <c r="D11" s="9"/>
    </row>
    <row r="12" spans="1:6" x14ac:dyDescent="0.3">
      <c r="A12" s="4" t="s">
        <v>203</v>
      </c>
      <c r="B12" s="7" t="s">
        <v>204</v>
      </c>
      <c r="C12" s="5">
        <v>4.62</v>
      </c>
      <c r="D12" s="9"/>
    </row>
    <row r="13" spans="1:6" x14ac:dyDescent="0.3">
      <c r="A13" s="4" t="s">
        <v>38</v>
      </c>
      <c r="B13" s="7" t="s">
        <v>39</v>
      </c>
      <c r="C13" s="5">
        <v>4.58</v>
      </c>
      <c r="D13" s="9"/>
      <c r="E13" s="11"/>
    </row>
    <row r="14" spans="1:6" x14ac:dyDescent="0.3">
      <c r="A14" s="4" t="s">
        <v>36</v>
      </c>
      <c r="B14" s="7" t="s">
        <v>37</v>
      </c>
      <c r="C14" s="5">
        <v>4.55</v>
      </c>
      <c r="D14" s="9"/>
      <c r="E14" s="11"/>
    </row>
    <row r="15" spans="1:6" x14ac:dyDescent="0.3">
      <c r="A15" s="4" t="s">
        <v>44</v>
      </c>
      <c r="B15" s="7" t="s">
        <v>45</v>
      </c>
      <c r="C15" s="5">
        <v>4.09</v>
      </c>
      <c r="D15" s="9"/>
      <c r="E15" s="11"/>
    </row>
    <row r="16" spans="1:6" x14ac:dyDescent="0.3">
      <c r="A16" s="4" t="s">
        <v>34</v>
      </c>
      <c r="B16" s="7" t="s">
        <v>35</v>
      </c>
      <c r="C16" s="5">
        <v>4.07</v>
      </c>
      <c r="D16" s="9"/>
      <c r="E16" s="11"/>
    </row>
    <row r="17" spans="1:4" x14ac:dyDescent="0.3">
      <c r="A17" s="4" t="s">
        <v>26</v>
      </c>
      <c r="B17" s="7" t="s">
        <v>27</v>
      </c>
      <c r="C17" s="5">
        <v>3.99</v>
      </c>
      <c r="D17" s="9"/>
    </row>
    <row r="18" spans="1:4" x14ac:dyDescent="0.3">
      <c r="A18" s="4" t="s">
        <v>46</v>
      </c>
      <c r="B18" s="7" t="s">
        <v>47</v>
      </c>
      <c r="C18" s="5">
        <v>3.47</v>
      </c>
      <c r="D18" s="9"/>
    </row>
    <row r="19" spans="1:4" x14ac:dyDescent="0.3">
      <c r="A19" s="4" t="s">
        <v>24</v>
      </c>
      <c r="B19" s="7" t="s">
        <v>25</v>
      </c>
      <c r="C19" s="5">
        <v>3.15</v>
      </c>
      <c r="D19" s="9"/>
    </row>
    <row r="20" spans="1:4" x14ac:dyDescent="0.3">
      <c r="A20" s="4" t="s">
        <v>111</v>
      </c>
      <c r="B20" s="7" t="s">
        <v>95</v>
      </c>
      <c r="C20" s="5">
        <v>2.98</v>
      </c>
    </row>
    <row r="21" spans="1:4" x14ac:dyDescent="0.3">
      <c r="A21" s="4" t="s">
        <v>48</v>
      </c>
      <c r="B21" s="7" t="s">
        <v>49</v>
      </c>
      <c r="C21" s="5">
        <v>1.92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"/>
  <sheetViews>
    <sheetView workbookViewId="0"/>
  </sheetViews>
  <sheetFormatPr defaultRowHeight="14.4" x14ac:dyDescent="0.3"/>
  <sheetData>
    <row r="1" spans="1:13" x14ac:dyDescent="0.3">
      <c r="A1">
        <v>13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workbookViewId="0">
      <selection activeCell="A2" sqref="A2"/>
    </sheetView>
  </sheetViews>
  <sheetFormatPr defaultRowHeight="14.4" x14ac:dyDescent="0.3"/>
  <cols>
    <col min="1" max="1" width="12.77734375" bestFit="1" customWidth="1"/>
    <col min="2" max="2" width="36.5546875" bestFit="1" customWidth="1"/>
    <col min="3" max="3" width="15.77734375" style="10" bestFit="1" customWidth="1"/>
    <col min="4" max="4" width="15.77734375" customWidth="1"/>
    <col min="5" max="5" width="24" bestFit="1" customWidth="1"/>
    <col min="6" max="6" width="1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6"/>
      <c r="E1" s="1" t="s">
        <v>4</v>
      </c>
      <c r="F1" s="2" t="s">
        <v>2</v>
      </c>
    </row>
    <row r="2" spans="1:6" x14ac:dyDescent="0.3">
      <c r="A2" s="3"/>
      <c r="B2" s="3"/>
      <c r="C2" s="5"/>
      <c r="E2" s="3"/>
      <c r="F2" s="5"/>
    </row>
    <row r="3" spans="1:6" x14ac:dyDescent="0.3">
      <c r="A3" s="3"/>
      <c r="B3" s="3"/>
      <c r="C3" s="5"/>
      <c r="E3" s="3"/>
      <c r="F3" s="5"/>
    </row>
    <row r="4" spans="1:6" x14ac:dyDescent="0.3">
      <c r="A4" s="3"/>
      <c r="B4" s="3"/>
      <c r="C4" s="5"/>
      <c r="E4" s="3"/>
      <c r="F4" s="5"/>
    </row>
    <row r="5" spans="1:6" x14ac:dyDescent="0.3">
      <c r="A5" s="3"/>
      <c r="B5" s="3"/>
      <c r="C5" s="5"/>
      <c r="E5" s="3"/>
      <c r="F5" s="5"/>
    </row>
    <row r="6" spans="1:6" x14ac:dyDescent="0.3">
      <c r="A6" s="3"/>
      <c r="B6" s="3"/>
      <c r="C6" s="5"/>
      <c r="E6" s="3"/>
      <c r="F6" s="5"/>
    </row>
    <row r="7" spans="1:6" x14ac:dyDescent="0.3">
      <c r="A7" s="3"/>
      <c r="B7" s="3"/>
      <c r="C7" s="5"/>
      <c r="E7" s="3"/>
      <c r="F7" s="5"/>
    </row>
    <row r="8" spans="1:6" x14ac:dyDescent="0.3">
      <c r="A8" s="3"/>
      <c r="B8" s="3"/>
      <c r="C8" s="5"/>
      <c r="E8" s="3"/>
      <c r="F8" s="5"/>
    </row>
    <row r="9" spans="1:6" x14ac:dyDescent="0.3">
      <c r="A9" s="3"/>
      <c r="B9" s="3"/>
      <c r="C9" s="5"/>
      <c r="E9" s="3"/>
      <c r="F9" s="5"/>
    </row>
    <row r="10" spans="1:6" x14ac:dyDescent="0.3">
      <c r="A10" s="3"/>
      <c r="B10" s="3"/>
      <c r="C10" s="5"/>
      <c r="E10" s="3"/>
      <c r="F10" s="5"/>
    </row>
    <row r="11" spans="1:6" x14ac:dyDescent="0.3">
      <c r="A11" s="3"/>
      <c r="B11" s="3"/>
      <c r="C11" s="5"/>
      <c r="E11" s="3"/>
      <c r="F11" s="5"/>
    </row>
    <row r="12" spans="1:6" x14ac:dyDescent="0.3">
      <c r="A12" s="3"/>
      <c r="B12" s="3"/>
      <c r="C12" s="5"/>
      <c r="E12" s="3"/>
      <c r="F12" s="5"/>
    </row>
    <row r="13" spans="1:6" x14ac:dyDescent="0.3">
      <c r="A13" s="3"/>
      <c r="B13" s="3"/>
      <c r="C13" s="5"/>
      <c r="E13" s="3"/>
      <c r="F13" s="5"/>
    </row>
    <row r="14" spans="1:6" x14ac:dyDescent="0.3">
      <c r="A14" s="3"/>
      <c r="B14" s="3"/>
      <c r="C14" s="5"/>
    </row>
    <row r="15" spans="1:6" x14ac:dyDescent="0.3">
      <c r="A15" s="3"/>
      <c r="B15" s="3"/>
      <c r="C15" s="5"/>
    </row>
    <row r="16" spans="1:6" x14ac:dyDescent="0.3">
      <c r="A16" s="3"/>
      <c r="B16" s="3"/>
      <c r="C16" s="5"/>
    </row>
    <row r="17" spans="1:3" x14ac:dyDescent="0.3">
      <c r="A17" s="3"/>
      <c r="B17" s="3"/>
      <c r="C17" s="5"/>
    </row>
    <row r="18" spans="1:3" x14ac:dyDescent="0.3">
      <c r="A18" s="3"/>
      <c r="B18" s="3"/>
      <c r="C18" s="5"/>
    </row>
    <row r="19" spans="1:3" x14ac:dyDescent="0.3">
      <c r="A19" s="3"/>
      <c r="B19" s="3"/>
      <c r="C19" s="5"/>
    </row>
    <row r="20" spans="1:3" x14ac:dyDescent="0.3">
      <c r="A20" s="3"/>
      <c r="B20" s="3"/>
      <c r="C20" s="5"/>
    </row>
    <row r="21" spans="1:3" x14ac:dyDescent="0.3">
      <c r="A21" s="3"/>
      <c r="B21" s="3"/>
      <c r="C21" s="5"/>
    </row>
    <row r="22" spans="1:3" x14ac:dyDescent="0.3">
      <c r="A22" s="3"/>
      <c r="B22" s="3"/>
      <c r="C22" s="5"/>
    </row>
    <row r="23" spans="1:3" x14ac:dyDescent="0.3">
      <c r="A23" s="3"/>
      <c r="B23" s="3"/>
      <c r="C23" s="5"/>
    </row>
    <row r="24" spans="1:3" x14ac:dyDescent="0.3">
      <c r="A24" s="3"/>
      <c r="B24" s="3"/>
      <c r="C24" s="5"/>
    </row>
    <row r="25" spans="1:3" x14ac:dyDescent="0.3">
      <c r="A25" s="3"/>
      <c r="B25" s="3"/>
      <c r="C25" s="5"/>
    </row>
    <row r="26" spans="1:3" x14ac:dyDescent="0.3">
      <c r="A26" s="3"/>
      <c r="B26" s="3"/>
      <c r="C26" s="5"/>
    </row>
    <row r="27" spans="1:3" x14ac:dyDescent="0.3">
      <c r="A27" s="3"/>
      <c r="B27" s="3"/>
      <c r="C27" s="5"/>
    </row>
    <row r="28" spans="1:3" x14ac:dyDescent="0.3">
      <c r="A28" s="3"/>
      <c r="B28" s="3"/>
      <c r="C28" s="5"/>
    </row>
    <row r="29" spans="1:3" x14ac:dyDescent="0.3">
      <c r="A29" s="3"/>
      <c r="B29" s="3"/>
      <c r="C29" s="5"/>
    </row>
    <row r="30" spans="1:3" x14ac:dyDescent="0.3">
      <c r="A30" s="3"/>
      <c r="B30" s="3"/>
      <c r="C30" s="5"/>
    </row>
    <row r="31" spans="1:3" x14ac:dyDescent="0.3">
      <c r="A31" s="3"/>
      <c r="B31" s="3"/>
      <c r="C31" s="5"/>
    </row>
    <row r="32" spans="1:3" x14ac:dyDescent="0.3">
      <c r="A32" s="3"/>
      <c r="B32" s="3"/>
      <c r="C32" s="5"/>
    </row>
    <row r="33" spans="1:3" x14ac:dyDescent="0.3">
      <c r="A33" s="3"/>
      <c r="B33" s="3"/>
      <c r="C33" s="5"/>
    </row>
    <row r="34" spans="1:3" x14ac:dyDescent="0.3">
      <c r="A34" s="3"/>
      <c r="B34" s="3"/>
      <c r="C34" s="5"/>
    </row>
    <row r="35" spans="1:3" x14ac:dyDescent="0.3">
      <c r="A35" s="3"/>
      <c r="B35" s="3"/>
      <c r="C35" s="5"/>
    </row>
    <row r="36" spans="1:3" x14ac:dyDescent="0.3">
      <c r="A36" s="3"/>
      <c r="B36" s="3"/>
      <c r="C36" s="5"/>
    </row>
    <row r="37" spans="1:3" x14ac:dyDescent="0.3">
      <c r="A37" s="3"/>
      <c r="B37" s="3"/>
      <c r="C3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Value M</vt:lpstr>
      <vt:lpstr>NTDOP</vt:lpstr>
      <vt:lpstr>MidtoMega</vt:lpstr>
      <vt:lpstr>Founders</vt:lpstr>
      <vt:lpstr>India Growth</vt:lpstr>
      <vt:lpstr>Ethical</vt:lpstr>
      <vt:lpstr>Multifactor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2026-02-11T06:04:27Z</dcterms:modified>
</cp:coreProperties>
</file>