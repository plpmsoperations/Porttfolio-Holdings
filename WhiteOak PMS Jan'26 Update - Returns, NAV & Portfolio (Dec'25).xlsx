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wocinv-my.sharepoint.com/personal/james_shankarlingam_whiteoakinvestors_com/Documents/James/Distributor Communication/FY 25-26/Jan'26/PMS/"/>
    </mc:Choice>
  </mc:AlternateContent>
  <xr:revisionPtr revIDLastSave="872" documentId="8_{BC810900-1EE6-42CB-A3F0-A5B8BBB948C7}" xr6:coauthVersionLast="47" xr6:coauthVersionMax="47" xr10:uidLastSave="{B39819A1-A29D-488F-BA90-4F4CC0495E90}"/>
  <bookViews>
    <workbookView xWindow="-120" yWindow="-120" windowWidth="20730" windowHeight="11040" tabRatio="816" xr2:uid="{5135AAA5-C538-4251-AC1A-B087120B4A22}"/>
  </bookViews>
  <sheets>
    <sheet name="Index" sheetId="13" r:id="rId1"/>
    <sheet name="PMS Returns" sheetId="16" r:id="rId2"/>
    <sheet name="PMS NAV" sheetId="17" r:id="rId3"/>
    <sheet name="Business Leaders" sheetId="1" r:id="rId4"/>
    <sheet name="Digital Leaders" sheetId="4" r:id="rId5"/>
    <sheet name="Pioneers Equity" sheetId="5" r:id="rId6"/>
    <sheet name="Research Select" sheetId="6" r:id="rId7"/>
    <sheet name="Select Equity" sheetId="7" r:id="rId8"/>
  </sheets>
  <definedNames>
    <definedName name="_xlnm._FilterDatabase" localSheetId="3" hidden="1">'Business Leaders'!$A$2:$F$42</definedName>
    <definedName name="_xlnm._FilterDatabase" localSheetId="4" hidden="1">'Digital Leaders'!$A$2:$F$37</definedName>
    <definedName name="_xlnm._FilterDatabase" localSheetId="5" hidden="1">'Pioneers Equity'!$A$2:$F$71</definedName>
    <definedName name="_xlnm._FilterDatabase" localSheetId="6" hidden="1">'Research Select'!$A$2:$F$43</definedName>
    <definedName name="_xlnm._FilterDatabase" localSheetId="7" hidden="1">'Select Equity'!$A$2:$F$17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2" i="17" l="1"/>
  <c r="S82" i="17"/>
  <c r="AG81" i="17"/>
  <c r="AE81" i="17"/>
  <c r="U81" i="17"/>
  <c r="S81" i="17"/>
  <c r="AG80" i="17"/>
  <c r="AE80" i="17"/>
  <c r="U80" i="17"/>
  <c r="S80" i="17"/>
  <c r="AG79" i="17"/>
  <c r="AE79" i="17"/>
  <c r="U79" i="17"/>
  <c r="S79" i="17"/>
  <c r="AG78" i="17"/>
  <c r="AE78" i="17"/>
  <c r="U78" i="17"/>
  <c r="S78" i="17"/>
  <c r="AG77" i="17"/>
  <c r="AE77" i="17"/>
  <c r="U77" i="17"/>
  <c r="S77" i="17"/>
  <c r="AG76" i="17"/>
  <c r="AE76" i="17"/>
  <c r="U76" i="17"/>
  <c r="S76" i="17"/>
  <c r="AG75" i="17"/>
  <c r="AE75" i="17"/>
  <c r="U75" i="17"/>
  <c r="S75" i="17"/>
  <c r="AG74" i="17"/>
  <c r="AE74" i="17"/>
  <c r="U74" i="17"/>
  <c r="S74" i="17"/>
  <c r="AG73" i="17"/>
  <c r="AE73" i="17"/>
  <c r="U73" i="17"/>
  <c r="S73" i="17"/>
  <c r="AG72" i="17"/>
  <c r="AE72" i="17"/>
  <c r="U72" i="17"/>
  <c r="S72" i="17"/>
  <c r="AG71" i="17"/>
  <c r="AE71" i="17"/>
  <c r="U71" i="17"/>
  <c r="S71" i="17"/>
  <c r="AG70" i="17"/>
  <c r="AE70" i="17"/>
  <c r="U70" i="17"/>
  <c r="S70" i="17"/>
  <c r="AG69" i="17"/>
  <c r="AE69" i="17"/>
  <c r="U69" i="17"/>
  <c r="S69" i="17"/>
  <c r="AG68" i="17"/>
  <c r="AE68" i="17"/>
  <c r="U68" i="17"/>
  <c r="S68" i="17"/>
  <c r="AG67" i="17"/>
  <c r="AE67" i="17"/>
  <c r="U67" i="17"/>
  <c r="S67" i="17"/>
  <c r="AG66" i="17"/>
  <c r="AE66" i="17"/>
  <c r="U66" i="17"/>
  <c r="S66" i="17"/>
  <c r="AG65" i="17"/>
  <c r="AE65" i="17"/>
  <c r="U65" i="17"/>
  <c r="S65" i="17"/>
  <c r="AG64" i="17"/>
  <c r="AE64" i="17"/>
  <c r="U64" i="17"/>
  <c r="S64" i="17"/>
  <c r="AG63" i="17"/>
  <c r="AE63" i="17"/>
  <c r="U63" i="17"/>
  <c r="S63" i="17"/>
  <c r="AG62" i="17"/>
  <c r="AE62" i="17"/>
  <c r="U62" i="17"/>
  <c r="S62" i="17"/>
  <c r="AG61" i="17"/>
  <c r="AE61" i="17"/>
  <c r="U61" i="17"/>
  <c r="S61" i="17"/>
  <c r="AG60" i="17"/>
  <c r="AE60" i="17"/>
  <c r="U60" i="17"/>
  <c r="S60" i="17"/>
  <c r="AG59" i="17"/>
  <c r="AE59" i="17"/>
  <c r="U59" i="17"/>
  <c r="S59" i="17"/>
  <c r="AG58" i="17"/>
  <c r="AE58" i="17"/>
  <c r="U58" i="17"/>
  <c r="S58" i="17"/>
  <c r="AG57" i="17"/>
  <c r="AE57" i="17"/>
  <c r="U57" i="17"/>
  <c r="S57" i="17"/>
  <c r="AG56" i="17"/>
  <c r="AE56" i="17"/>
  <c r="U56" i="17"/>
  <c r="S56" i="17"/>
  <c r="AG55" i="17"/>
  <c r="AE55" i="17"/>
  <c r="U55" i="17"/>
  <c r="S55" i="17"/>
  <c r="E55" i="17"/>
  <c r="C55" i="17"/>
  <c r="AG54" i="17"/>
  <c r="AE54" i="17"/>
  <c r="U54" i="17"/>
  <c r="S54" i="17"/>
  <c r="G54" i="17"/>
  <c r="E54" i="17"/>
  <c r="C54" i="17"/>
  <c r="AG53" i="17"/>
  <c r="AE53" i="17"/>
  <c r="U53" i="17"/>
  <c r="S53" i="17"/>
  <c r="G53" i="17"/>
  <c r="E53" i="17"/>
  <c r="C53" i="17"/>
  <c r="AG52" i="17"/>
  <c r="AE52" i="17"/>
  <c r="U52" i="17"/>
  <c r="S52" i="17"/>
  <c r="G52" i="17"/>
  <c r="E52" i="17"/>
  <c r="C52" i="17"/>
  <c r="AG51" i="17"/>
  <c r="AE51" i="17"/>
  <c r="U51" i="17"/>
  <c r="S51" i="17"/>
  <c r="G51" i="17"/>
  <c r="E51" i="17"/>
  <c r="C51" i="17"/>
  <c r="AG50" i="17"/>
  <c r="AE50" i="17"/>
  <c r="U50" i="17"/>
  <c r="S50" i="17"/>
  <c r="G50" i="17"/>
  <c r="E50" i="17"/>
  <c r="C50" i="17"/>
  <c r="AG49" i="17"/>
  <c r="AE49" i="17"/>
  <c r="U49" i="17"/>
  <c r="S49" i="17"/>
  <c r="G49" i="17"/>
  <c r="E49" i="17"/>
  <c r="C49" i="17"/>
  <c r="AG48" i="17"/>
  <c r="AE48" i="17"/>
  <c r="U48" i="17"/>
  <c r="S48" i="17"/>
  <c r="G48" i="17"/>
  <c r="E48" i="17"/>
  <c r="C48" i="17"/>
  <c r="AG47" i="17"/>
  <c r="AE47" i="17"/>
  <c r="U47" i="17"/>
  <c r="S47" i="17"/>
  <c r="G47" i="17"/>
  <c r="E47" i="17"/>
  <c r="C47" i="17"/>
  <c r="AG46" i="17"/>
  <c r="AE46" i="17"/>
  <c r="U46" i="17"/>
  <c r="S46" i="17"/>
  <c r="G46" i="17"/>
  <c r="E46" i="17"/>
  <c r="C46" i="17"/>
  <c r="AG45" i="17"/>
  <c r="AE45" i="17"/>
  <c r="U45" i="17"/>
  <c r="S45" i="17"/>
  <c r="G45" i="17"/>
  <c r="E45" i="17"/>
  <c r="C45" i="17"/>
  <c r="AG44" i="17"/>
  <c r="AE44" i="17"/>
  <c r="U44" i="17"/>
  <c r="S44" i="17"/>
  <c r="G44" i="17"/>
  <c r="E44" i="17"/>
  <c r="C44" i="17"/>
  <c r="AG43" i="17"/>
  <c r="AE43" i="17"/>
  <c r="U43" i="17"/>
  <c r="S43" i="17"/>
  <c r="G43" i="17"/>
  <c r="E43" i="17"/>
  <c r="C43" i="17"/>
  <c r="AG42" i="17"/>
  <c r="AE42" i="17"/>
  <c r="U42" i="17"/>
  <c r="S42" i="17"/>
  <c r="G42" i="17"/>
  <c r="E42" i="17"/>
  <c r="C42" i="17"/>
  <c r="AG41" i="17"/>
  <c r="AE41" i="17"/>
  <c r="U41" i="17"/>
  <c r="S41" i="17"/>
  <c r="O41" i="17"/>
  <c r="M41" i="17"/>
  <c r="K41" i="17"/>
  <c r="G41" i="17"/>
  <c r="E41" i="17"/>
  <c r="C41" i="17"/>
  <c r="AG40" i="17"/>
  <c r="AE40" i="17"/>
  <c r="U40" i="17"/>
  <c r="S40" i="17"/>
  <c r="O40" i="17"/>
  <c r="M40" i="17"/>
  <c r="K40" i="17"/>
  <c r="G40" i="17"/>
  <c r="E40" i="17"/>
  <c r="C40" i="17"/>
  <c r="AG39" i="17"/>
  <c r="AE39" i="17"/>
  <c r="U39" i="17"/>
  <c r="S39" i="17"/>
  <c r="O39" i="17"/>
  <c r="M39" i="17"/>
  <c r="K39" i="17"/>
  <c r="G39" i="17"/>
  <c r="E39" i="17"/>
  <c r="C39" i="17"/>
  <c r="AG38" i="17"/>
  <c r="AE38" i="17"/>
  <c r="U38" i="17"/>
  <c r="S38" i="17"/>
  <c r="O38" i="17"/>
  <c r="M38" i="17"/>
  <c r="K38" i="17"/>
  <c r="G38" i="17"/>
  <c r="E38" i="17"/>
  <c r="C38" i="17"/>
  <c r="AG37" i="17"/>
  <c r="AE37" i="17"/>
  <c r="U37" i="17"/>
  <c r="S37" i="17"/>
  <c r="O37" i="17"/>
  <c r="M37" i="17"/>
  <c r="K37" i="17"/>
  <c r="G37" i="17"/>
  <c r="E37" i="17"/>
  <c r="C37" i="17"/>
  <c r="AG36" i="17"/>
  <c r="AE36" i="17"/>
  <c r="U36" i="17"/>
  <c r="S36" i="17"/>
  <c r="O36" i="17"/>
  <c r="M36" i="17"/>
  <c r="K36" i="17"/>
  <c r="G36" i="17"/>
  <c r="E36" i="17"/>
  <c r="C36" i="17"/>
  <c r="AG35" i="17"/>
  <c r="AE35" i="17"/>
  <c r="U35" i="17"/>
  <c r="S35" i="17"/>
  <c r="O35" i="17"/>
  <c r="M35" i="17"/>
  <c r="K35" i="17"/>
  <c r="G35" i="17"/>
  <c r="E35" i="17"/>
  <c r="C35" i="17"/>
  <c r="AG34" i="17"/>
  <c r="AE34" i="17"/>
  <c r="U34" i="17"/>
  <c r="S34" i="17"/>
  <c r="O34" i="17"/>
  <c r="M34" i="17"/>
  <c r="K34" i="17"/>
  <c r="G34" i="17"/>
  <c r="E34" i="17"/>
  <c r="C34" i="17"/>
  <c r="AG33" i="17"/>
  <c r="AE33" i="17"/>
  <c r="U33" i="17"/>
  <c r="S33" i="17"/>
  <c r="O33" i="17"/>
  <c r="M33" i="17"/>
  <c r="K33" i="17"/>
  <c r="G33" i="17"/>
  <c r="E33" i="17"/>
  <c r="C33" i="17"/>
  <c r="AG32" i="17"/>
  <c r="AE32" i="17"/>
  <c r="U32" i="17"/>
  <c r="S32" i="17"/>
  <c r="O32" i="17"/>
  <c r="M32" i="17"/>
  <c r="K32" i="17"/>
  <c r="G32" i="17"/>
  <c r="E32" i="17"/>
  <c r="C32" i="17"/>
  <c r="AG31" i="17"/>
  <c r="AE31" i="17"/>
  <c r="U31" i="17"/>
  <c r="S31" i="17"/>
  <c r="O31" i="17"/>
  <c r="M31" i="17"/>
  <c r="K31" i="17"/>
  <c r="G31" i="17"/>
  <c r="E31" i="17"/>
  <c r="C31" i="17"/>
  <c r="AG30" i="17"/>
  <c r="AE30" i="17"/>
  <c r="U30" i="17"/>
  <c r="S30" i="17"/>
  <c r="O30" i="17"/>
  <c r="M30" i="17"/>
  <c r="K30" i="17"/>
  <c r="G30" i="17"/>
  <c r="E30" i="17"/>
  <c r="C30" i="17"/>
  <c r="AG29" i="17"/>
  <c r="AE29" i="17"/>
  <c r="U29" i="17"/>
  <c r="S29" i="17"/>
  <c r="O29" i="17"/>
  <c r="M29" i="17"/>
  <c r="K29" i="17"/>
  <c r="G29" i="17"/>
  <c r="E29" i="17"/>
  <c r="C29" i="17"/>
  <c r="AG28" i="17"/>
  <c r="AE28" i="17"/>
  <c r="U28" i="17"/>
  <c r="S28" i="17"/>
  <c r="O28" i="17"/>
  <c r="M28" i="17"/>
  <c r="K28" i="17"/>
  <c r="G28" i="17"/>
  <c r="E28" i="17"/>
  <c r="C28" i="17"/>
  <c r="AG27" i="17"/>
  <c r="AE27" i="17"/>
  <c r="U27" i="17"/>
  <c r="S27" i="17"/>
  <c r="O27" i="17"/>
  <c r="M27" i="17"/>
  <c r="K27" i="17"/>
  <c r="G27" i="17"/>
  <c r="E27" i="17"/>
  <c r="C27" i="17"/>
  <c r="AG26" i="17"/>
  <c r="AE26" i="17"/>
  <c r="U26" i="17"/>
  <c r="S26" i="17"/>
  <c r="O26" i="17"/>
  <c r="M26" i="17"/>
  <c r="K26" i="17"/>
  <c r="G26" i="17"/>
  <c r="E26" i="17"/>
  <c r="C26" i="17"/>
  <c r="AG25" i="17"/>
  <c r="AE25" i="17"/>
  <c r="U25" i="17"/>
  <c r="S25" i="17"/>
  <c r="O25" i="17"/>
  <c r="M25" i="17"/>
  <c r="K25" i="17"/>
  <c r="G25" i="17"/>
  <c r="E25" i="17"/>
  <c r="C25" i="17"/>
  <c r="AG24" i="17"/>
  <c r="AE24" i="17"/>
  <c r="U24" i="17"/>
  <c r="S24" i="17"/>
  <c r="O24" i="17"/>
  <c r="M24" i="17"/>
  <c r="K24" i="17"/>
  <c r="G24" i="17"/>
  <c r="E24" i="17"/>
  <c r="C24" i="17"/>
  <c r="AG23" i="17"/>
  <c r="AE23" i="17"/>
  <c r="U23" i="17"/>
  <c r="S23" i="17"/>
  <c r="O23" i="17"/>
  <c r="M23" i="17"/>
  <c r="K23" i="17"/>
  <c r="G23" i="17"/>
  <c r="E23" i="17"/>
  <c r="C23" i="17"/>
  <c r="AG22" i="17"/>
  <c r="AE22" i="17"/>
  <c r="U22" i="17"/>
  <c r="S22" i="17"/>
  <c r="O22" i="17"/>
  <c r="M22" i="17"/>
  <c r="K22" i="17"/>
  <c r="G22" i="17"/>
  <c r="E22" i="17"/>
  <c r="C22" i="17"/>
  <c r="AG21" i="17"/>
  <c r="AE21" i="17"/>
  <c r="U21" i="17"/>
  <c r="S21" i="17"/>
  <c r="O21" i="17"/>
  <c r="M21" i="17"/>
  <c r="K21" i="17"/>
  <c r="G21" i="17"/>
  <c r="E21" i="17"/>
  <c r="C21" i="17"/>
  <c r="AG20" i="17"/>
  <c r="AE20" i="17"/>
  <c r="U20" i="17"/>
  <c r="S20" i="17"/>
  <c r="O20" i="17"/>
  <c r="M20" i="17"/>
  <c r="K20" i="17"/>
  <c r="G20" i="17"/>
  <c r="E20" i="17"/>
  <c r="C20" i="17"/>
  <c r="AG19" i="17"/>
  <c r="AE19" i="17"/>
  <c r="U19" i="17"/>
  <c r="S19" i="17"/>
  <c r="O19" i="17"/>
  <c r="M19" i="17"/>
  <c r="K19" i="17"/>
  <c r="G19" i="17"/>
  <c r="E19" i="17"/>
  <c r="C19" i="17"/>
  <c r="AG18" i="17"/>
  <c r="AE18" i="17"/>
  <c r="U18" i="17"/>
  <c r="S18" i="17"/>
  <c r="O18" i="17"/>
  <c r="M18" i="17"/>
  <c r="K18" i="17"/>
  <c r="G18" i="17"/>
  <c r="E18" i="17"/>
  <c r="C18" i="17"/>
  <c r="AG17" i="17"/>
  <c r="AE17" i="17"/>
  <c r="U17" i="17"/>
  <c r="S17" i="17"/>
  <c r="O17" i="17"/>
  <c r="M17" i="17"/>
  <c r="K17" i="17"/>
  <c r="G17" i="17"/>
  <c r="E17" i="17"/>
  <c r="C17" i="17"/>
  <c r="AG16" i="17"/>
  <c r="AE16" i="17"/>
  <c r="U16" i="17"/>
  <c r="S16" i="17"/>
  <c r="O16" i="17"/>
  <c r="M16" i="17"/>
  <c r="K16" i="17"/>
  <c r="G16" i="17"/>
  <c r="E16" i="17"/>
  <c r="C16" i="17"/>
  <c r="AG15" i="17"/>
  <c r="AE15" i="17"/>
  <c r="U15" i="17"/>
  <c r="S15" i="17"/>
  <c r="O15" i="17"/>
  <c r="M15" i="17"/>
  <c r="K15" i="17"/>
  <c r="G15" i="17"/>
  <c r="E15" i="17"/>
  <c r="C15" i="17"/>
  <c r="AG14" i="17"/>
  <c r="AE14" i="17"/>
  <c r="AA14" i="17"/>
  <c r="Y14" i="17"/>
  <c r="U14" i="17"/>
  <c r="S14" i="17"/>
  <c r="O14" i="17"/>
  <c r="M14" i="17"/>
  <c r="K14" i="17"/>
  <c r="G14" i="17"/>
  <c r="E14" i="17"/>
  <c r="C14" i="17"/>
  <c r="AG13" i="17"/>
  <c r="AE13" i="17"/>
  <c r="AA13" i="17"/>
  <c r="Y13" i="17"/>
  <c r="U13" i="17"/>
  <c r="S13" i="17"/>
  <c r="O13" i="17"/>
  <c r="M13" i="17"/>
  <c r="K13" i="17"/>
  <c r="G13" i="17"/>
  <c r="E13" i="17"/>
  <c r="C13" i="17"/>
  <c r="AG12" i="17"/>
  <c r="AE12" i="17"/>
  <c r="AA12" i="17"/>
  <c r="Y12" i="17"/>
  <c r="U12" i="17"/>
  <c r="S12" i="17"/>
  <c r="O12" i="17"/>
  <c r="M12" i="17"/>
  <c r="K12" i="17"/>
  <c r="G12" i="17"/>
  <c r="E12" i="17"/>
  <c r="C12" i="17"/>
  <c r="AG11" i="17"/>
  <c r="AE11" i="17"/>
  <c r="AA11" i="17"/>
  <c r="Y11" i="17"/>
  <c r="U11" i="17"/>
  <c r="S11" i="17"/>
  <c r="O11" i="17"/>
  <c r="M11" i="17"/>
  <c r="K11" i="17"/>
  <c r="G11" i="17"/>
  <c r="E11" i="17"/>
  <c r="C11" i="17"/>
  <c r="AG10" i="17"/>
  <c r="AE10" i="17"/>
  <c r="AA10" i="17"/>
  <c r="Y10" i="17"/>
  <c r="U10" i="17"/>
  <c r="S10" i="17"/>
  <c r="O10" i="17"/>
  <c r="M10" i="17"/>
  <c r="K10" i="17"/>
  <c r="G10" i="17"/>
  <c r="E10" i="17"/>
  <c r="C10" i="17"/>
  <c r="AG9" i="17"/>
  <c r="AE9" i="17"/>
  <c r="AA9" i="17"/>
  <c r="Y9" i="17"/>
  <c r="U9" i="17"/>
  <c r="S9" i="17"/>
  <c r="O9" i="17"/>
  <c r="M9" i="17"/>
  <c r="K9" i="17"/>
  <c r="G9" i="17"/>
  <c r="E9" i="17"/>
  <c r="C9" i="17"/>
  <c r="AG8" i="17"/>
  <c r="AE8" i="17"/>
  <c r="AA8" i="17"/>
  <c r="Y8" i="17"/>
  <c r="U8" i="17"/>
  <c r="S8" i="17"/>
  <c r="O8" i="17"/>
  <c r="M8" i="17"/>
  <c r="K8" i="17"/>
  <c r="G8" i="17"/>
  <c r="E8" i="17"/>
  <c r="C8" i="17"/>
  <c r="AG7" i="17"/>
  <c r="AE7" i="17"/>
  <c r="AA7" i="17"/>
  <c r="Y7" i="17"/>
  <c r="U7" i="17"/>
  <c r="S7" i="17"/>
  <c r="O7" i="17"/>
  <c r="M7" i="17"/>
  <c r="K7" i="17"/>
  <c r="G7" i="17"/>
  <c r="E7" i="17"/>
  <c r="C7" i="17"/>
  <c r="AG6" i="17"/>
  <c r="AE6" i="17"/>
  <c r="AA6" i="17"/>
  <c r="Y6" i="17"/>
  <c r="U6" i="17"/>
  <c r="S6" i="17"/>
  <c r="O6" i="17"/>
  <c r="M6" i="17"/>
  <c r="K6" i="17"/>
  <c r="G6" i="17"/>
  <c r="E6" i="17"/>
  <c r="C6" i="17"/>
  <c r="AG5" i="17"/>
  <c r="AE5" i="17"/>
  <c r="AA5" i="17"/>
  <c r="Y5" i="17"/>
  <c r="U5" i="17"/>
  <c r="S5" i="17"/>
  <c r="O5" i="17"/>
  <c r="M5" i="17"/>
  <c r="K5" i="17"/>
  <c r="G5" i="17"/>
  <c r="E5" i="17"/>
  <c r="C5" i="17"/>
  <c r="AG4" i="17"/>
  <c r="AE4" i="17"/>
  <c r="AA4" i="17"/>
  <c r="Y4" i="17"/>
  <c r="U4" i="17"/>
  <c r="S4" i="17"/>
  <c r="O4" i="17"/>
  <c r="M4" i="17"/>
  <c r="K4" i="17"/>
  <c r="G4" i="17"/>
  <c r="E4" i="17"/>
  <c r="C4" i="17"/>
</calcChain>
</file>

<file path=xl/sharedStrings.xml><?xml version="1.0" encoding="utf-8"?>
<sst xmlns="http://schemas.openxmlformats.org/spreadsheetml/2006/main" count="1137" uniqueCount="376">
  <si>
    <t>WhiteOak India Business Leaders PMS</t>
  </si>
  <si>
    <t>Date</t>
  </si>
  <si>
    <t>Stock Name</t>
  </si>
  <si>
    <t>BB Code</t>
  </si>
  <si>
    <t>ISIN</t>
  </si>
  <si>
    <t>% Weight</t>
  </si>
  <si>
    <t>Sector</t>
  </si>
  <si>
    <t>ICICI BANK LTD</t>
  </si>
  <si>
    <t>ICICIBC IN Equity</t>
  </si>
  <si>
    <t>INE090A01021</t>
  </si>
  <si>
    <t>Financials</t>
  </si>
  <si>
    <t>HDFC BANK LTD</t>
  </si>
  <si>
    <t>HDFCB IN Equity</t>
  </si>
  <si>
    <t>INE040A01034</t>
  </si>
  <si>
    <t>TATA CONSULTANCY SERVICES LTD</t>
  </si>
  <si>
    <t>TCS IN Equity</t>
  </si>
  <si>
    <t>INE467B01029</t>
  </si>
  <si>
    <t>Information Technology</t>
  </si>
  <si>
    <t>BHARTI AIRTEL LTD</t>
  </si>
  <si>
    <t>BHARTI IN Equity</t>
  </si>
  <si>
    <t>INE397D01024</t>
  </si>
  <si>
    <t>Communication Services</t>
  </si>
  <si>
    <t>BAJAJ FINSERV LTD</t>
  </si>
  <si>
    <t>BJFIN IN Equity</t>
  </si>
  <si>
    <t>INE918I01026</t>
  </si>
  <si>
    <t>STATE BANK OF INDIA</t>
  </si>
  <si>
    <t>SBIN IN Equity</t>
  </si>
  <si>
    <t>INE062A01020</t>
  </si>
  <si>
    <t>INFO EDGE INDIA LTD</t>
  </si>
  <si>
    <t>INFOE IN Equity</t>
  </si>
  <si>
    <t>NESTLE INDIA LTD</t>
  </si>
  <si>
    <t>NEST IN Equity</t>
  </si>
  <si>
    <t>INE239A01024</t>
  </si>
  <si>
    <t>Consumer Staples</t>
  </si>
  <si>
    <t>INE758T01015</t>
  </si>
  <si>
    <t>Consumer Discretionary</t>
  </si>
  <si>
    <t>CHOLAMANDALAM FINANCIAL HOLDINGS LTD</t>
  </si>
  <si>
    <t>CHOLAHLD IN Equity</t>
  </si>
  <si>
    <t>INE149A01033</t>
  </si>
  <si>
    <t>RELIANCE INDUSTRIES LTD</t>
  </si>
  <si>
    <t>RELIANCE IN Equity</t>
  </si>
  <si>
    <t>INE002A01018</t>
  </si>
  <si>
    <t>Energy</t>
  </si>
  <si>
    <t>LARSEN and TOUBRO LTD</t>
  </si>
  <si>
    <t>LT IN Equity</t>
  </si>
  <si>
    <t>INE018A01030</t>
  </si>
  <si>
    <t>Industrials</t>
  </si>
  <si>
    <t>KOTAK MAHINDRA BANK LTD</t>
  </si>
  <si>
    <t>kmb in equity</t>
  </si>
  <si>
    <t>INE237A01028</t>
  </si>
  <si>
    <t>MAHINDRA and MAHINDRA LTD</t>
  </si>
  <si>
    <t>MM IN Equity</t>
  </si>
  <si>
    <t>INE101A01026</t>
  </si>
  <si>
    <t>ABBOTT INDIA LTD</t>
  </si>
  <si>
    <t>BOOT IN Equity</t>
  </si>
  <si>
    <t>INE358A01014</t>
  </si>
  <si>
    <t>Health Care</t>
  </si>
  <si>
    <t>ADANI PORTS and SPECIAL ECONOMIC ZONE LTD</t>
  </si>
  <si>
    <t>ADSEZ IN Equity</t>
  </si>
  <si>
    <t>INE742F01042</t>
  </si>
  <si>
    <t>COFORGE LTD</t>
  </si>
  <si>
    <t>COFORGE IN Equity</t>
  </si>
  <si>
    <t>PERSISTENT SYSTEMS LTD</t>
  </si>
  <si>
    <t>psys IN Equity</t>
  </si>
  <si>
    <t>INE262H01021</t>
  </si>
  <si>
    <t>CG POWER AND INDUSTRIAL SOLUTIONS LTD</t>
  </si>
  <si>
    <t>CGPOWER IN Equity</t>
  </si>
  <si>
    <t>INE067A01029</t>
  </si>
  <si>
    <t>TRENT LTD</t>
  </si>
  <si>
    <t>TRENT IN Equity</t>
  </si>
  <si>
    <t>INE849A01020</t>
  </si>
  <si>
    <t>INFOSYS LTD</t>
  </si>
  <si>
    <t>INFO IN Equity</t>
  </si>
  <si>
    <t>INE009A01021</t>
  </si>
  <si>
    <t>VARUN BEVERAGES LTD</t>
  </si>
  <si>
    <t>VBL IN Equity</t>
  </si>
  <si>
    <t>INE200M01039</t>
  </si>
  <si>
    <t>HINDALCO INDUSTRIES LTD</t>
  </si>
  <si>
    <t>HNDL IN Equity</t>
  </si>
  <si>
    <t>INE038A01020</t>
  </si>
  <si>
    <t>Materials</t>
  </si>
  <si>
    <t>INTERGLOBE AVIATION LTD</t>
  </si>
  <si>
    <t>INDIGO IN Equity</t>
  </si>
  <si>
    <t>INE646L01027</t>
  </si>
  <si>
    <t>GUJARAT STATE PETRONET LTD</t>
  </si>
  <si>
    <t>GUJS IN Equity</t>
  </si>
  <si>
    <t>INE246F01010</t>
  </si>
  <si>
    <t>Utilities</t>
  </si>
  <si>
    <t>MARUTI SUZUKI INDIA LTD</t>
  </si>
  <si>
    <t>MSIL IN Equity</t>
  </si>
  <si>
    <t>INE585B01010</t>
  </si>
  <si>
    <t>TORRENT PHARMACEUTICALS LTD</t>
  </si>
  <si>
    <t>TRP IN Equity</t>
  </si>
  <si>
    <t>INE685A01028</t>
  </si>
  <si>
    <t>HDFC LIFE INSURANCE COMPANY LTD</t>
  </si>
  <si>
    <t>HDFCLIFE IN Equity</t>
  </si>
  <si>
    <t>INE795G01014</t>
  </si>
  <si>
    <t>CIPLA LTD</t>
  </si>
  <si>
    <t>CIPLA IN Equity</t>
  </si>
  <si>
    <t>INE059A01026</t>
  </si>
  <si>
    <t>AJANTA PHARMA LTD</t>
  </si>
  <si>
    <t>AJP IN Equity</t>
  </si>
  <si>
    <t>INE031B01049</t>
  </si>
  <si>
    <t>GODREJ CONSUMER PRODUCTS LTD</t>
  </si>
  <si>
    <t>GCPL IN Equity</t>
  </si>
  <si>
    <t>INE102D01028</t>
  </si>
  <si>
    <t>AIA ENGINEERING LTD</t>
  </si>
  <si>
    <t>AIAE IN Equity</t>
  </si>
  <si>
    <t>INE212H01026</t>
  </si>
  <si>
    <t>POWER GRID CORPORATION OF INDIA LTD</t>
  </si>
  <si>
    <t>PWGR IN Equity</t>
  </si>
  <si>
    <t>INE752E01010</t>
  </si>
  <si>
    <t>BHARAT ELECTRONICS LTD</t>
  </si>
  <si>
    <t>BHE IN Equity</t>
  </si>
  <si>
    <t>INE263A01024</t>
  </si>
  <si>
    <t>TITAN COMPANY LTD</t>
  </si>
  <si>
    <t>TTAN IN Equity</t>
  </si>
  <si>
    <t>INE280A01028</t>
  </si>
  <si>
    <t>JINDAL STAINLESS LTD</t>
  </si>
  <si>
    <t>JDSL IN Equity</t>
  </si>
  <si>
    <t>INE220G01021</t>
  </si>
  <si>
    <t>POWER FINANCE CORPORATION LTD</t>
  </si>
  <si>
    <t>POWF IN Equity</t>
  </si>
  <si>
    <t>INE134E01011</t>
  </si>
  <si>
    <t>TUBE INVESTMENTS OF INDIA LTD</t>
  </si>
  <si>
    <t>TIINDIA IN Equity</t>
  </si>
  <si>
    <t>INE974X01010</t>
  </si>
  <si>
    <t>CIGNITI TECHNOLOGIES LTD</t>
  </si>
  <si>
    <t>CIGN IN Equity</t>
  </si>
  <si>
    <t>INE675C01017</t>
  </si>
  <si>
    <t>AMBUJA CEMENTS LTD</t>
  </si>
  <si>
    <t>ACEM IN Equity</t>
  </si>
  <si>
    <t>INE079A01024</t>
  </si>
  <si>
    <t>Cash</t>
  </si>
  <si>
    <t>Median Market Cap (INR Cr)</t>
  </si>
  <si>
    <t>GICS Sector</t>
  </si>
  <si>
    <t>BSE 500</t>
  </si>
  <si>
    <t>Marketcap</t>
  </si>
  <si>
    <t>Consumer Disc</t>
  </si>
  <si>
    <t>Large Cap</t>
  </si>
  <si>
    <t>Information Tech</t>
  </si>
  <si>
    <t>Mid Cap</t>
  </si>
  <si>
    <t>Small Cap</t>
  </si>
  <si>
    <t>Comm Services</t>
  </si>
  <si>
    <t>Real Estate</t>
  </si>
  <si>
    <t>White Oak India Digital Leaders Portfolio</t>
  </si>
  <si>
    <t>Cartrade Tech Limited</t>
  </si>
  <si>
    <t>CARTRADE IN Equity</t>
  </si>
  <si>
    <t>INE290S01011</t>
  </si>
  <si>
    <t>COMPUTER AGE MANAGEMENT SERVICES LTD</t>
  </si>
  <si>
    <t>CAMS IN Equity</t>
  </si>
  <si>
    <t>INTELLECT DESIGN ARENA LTD</t>
  </si>
  <si>
    <t>INDA IN Equity</t>
  </si>
  <si>
    <t>INE306R01017</t>
  </si>
  <si>
    <t>PB FINTECH LTD</t>
  </si>
  <si>
    <t>POLICYBZ IN Equity</t>
  </si>
  <si>
    <t>INE417T01026</t>
  </si>
  <si>
    <t>MEDI ASSIST HEALTHCARE SERVICES LTD</t>
  </si>
  <si>
    <t>MEDIASSI IN Equity</t>
  </si>
  <si>
    <t>INE456Z01021</t>
  </si>
  <si>
    <t>AZAD ENGINEERING LTD</t>
  </si>
  <si>
    <t>AZAD IN Equity</t>
  </si>
  <si>
    <t>INE02IJ01035</t>
  </si>
  <si>
    <t>LE TRAVENUES TECHNOLOGY LTD</t>
  </si>
  <si>
    <t>IXIGO IN Equity</t>
  </si>
  <si>
    <t>INE0HV901016</t>
  </si>
  <si>
    <t>POLY MEDICURE LTD</t>
  </si>
  <si>
    <t>PLM IN Equity</t>
  </si>
  <si>
    <t>INE205C01021</t>
  </si>
  <si>
    <t>SAREGAMA INDIA LTD</t>
  </si>
  <si>
    <t>SARE IN Equity</t>
  </si>
  <si>
    <t>INE979A01025</t>
  </si>
  <si>
    <t>FSN E-COMMERCE VENTURES LIMITED</t>
  </si>
  <si>
    <t>NYKAA IN Equity</t>
  </si>
  <si>
    <t>INE388Y01029</t>
  </si>
  <si>
    <t>FIRSTSOURCE SOLUTIONS LTD</t>
  </si>
  <si>
    <t>FSOL IN Equity</t>
  </si>
  <si>
    <t>INE684F01012</t>
  </si>
  <si>
    <t>DR LAL PATHLABS LTD</t>
  </si>
  <si>
    <t>DLPL IN Equity</t>
  </si>
  <si>
    <t>INE600L01024</t>
  </si>
  <si>
    <t>NEWGEN SOFTWARE TECHNOLOGIES LTD</t>
  </si>
  <si>
    <t>NEWGEN IN Equity</t>
  </si>
  <si>
    <t>INE619B01017</t>
  </si>
  <si>
    <t>ANGEL ONE LTD</t>
  </si>
  <si>
    <t>ANGELONE IN Equity</t>
  </si>
  <si>
    <t>INE732I01013</t>
  </si>
  <si>
    <t>White Oak India Pioneers Equity Portfolio</t>
  </si>
  <si>
    <t>GARWARE TECHNICAL FIBRES LTD</t>
  </si>
  <si>
    <t>GTFL IN Equity</t>
  </si>
  <si>
    <t>INE276A01018</t>
  </si>
  <si>
    <t>RAINBOW CHILDRENS MEDICARE LTD</t>
  </si>
  <si>
    <t>RAINBOW IN Equity</t>
  </si>
  <si>
    <t>INE961O01016</t>
  </si>
  <si>
    <t>DODLA DAIRY LIMITED</t>
  </si>
  <si>
    <t>DODLA IN Equity</t>
  </si>
  <si>
    <t>INE021O01019</t>
  </si>
  <si>
    <t>FIVE-STAR BUSINESS FINANCE LTD</t>
  </si>
  <si>
    <t>FIVESTAR IN Equity</t>
  </si>
  <si>
    <t>INE128S01021</t>
  </si>
  <si>
    <t>KRISHNA INSTITUTE OF MEDICAL SCIENCES LTD</t>
  </si>
  <si>
    <t>KIMS IN Equity</t>
  </si>
  <si>
    <t>INE967H01025</t>
  </si>
  <si>
    <t>ONESOURCE SPECIALTY PHARMA LTD</t>
  </si>
  <si>
    <t>ONESOURC IN Equity</t>
  </si>
  <si>
    <t>INE013P01021</t>
  </si>
  <si>
    <t>LEMON TREE HOTELS LTD</t>
  </si>
  <si>
    <t>LEMONTRE IN Equity</t>
  </si>
  <si>
    <t>INE970X01018</t>
  </si>
  <si>
    <t>CSB BANK LTD</t>
  </si>
  <si>
    <t>CSBBANK IN Equity</t>
  </si>
  <si>
    <t>INE679A01013</t>
  </si>
  <si>
    <t>NAVIN FLUORINE INTERNATIONAL LTD</t>
  </si>
  <si>
    <t>NFIL IN Equity</t>
  </si>
  <si>
    <t>INE048G01026</t>
  </si>
  <si>
    <t>SOBHA LTD</t>
  </si>
  <si>
    <t>SOBHA IN Equity</t>
  </si>
  <si>
    <t>INE671H01015</t>
  </si>
  <si>
    <t>ICICI PRUDENTIAL LIFE INSURANCE COMPANY LTD</t>
  </si>
  <si>
    <t>IPRU IN Equity</t>
  </si>
  <si>
    <t>INE726G01019</t>
  </si>
  <si>
    <t>INDIGO PAINTS LTD</t>
  </si>
  <si>
    <t>INDIGOPN IN Equity</t>
  </si>
  <si>
    <t>INE09VQ01012</t>
  </si>
  <si>
    <t>CELLO WORLD LTD</t>
  </si>
  <si>
    <t>CELLO IN Equity</t>
  </si>
  <si>
    <t>INE0LMW01024</t>
  </si>
  <si>
    <t>FINE ORGANIC INDUSTRIES LTD</t>
  </si>
  <si>
    <t>FINEORG IN Equity</t>
  </si>
  <si>
    <t>INE686Y01026</t>
  </si>
  <si>
    <t>EUREKA FORBES LTD</t>
  </si>
  <si>
    <t>EUREKAFO IN Equity</t>
  </si>
  <si>
    <t>INE0KCE01017</t>
  </si>
  <si>
    <t>JYOTHY LABS LTD</t>
  </si>
  <si>
    <t>JYL IN Equity</t>
  </si>
  <si>
    <t>INE668F01031</t>
  </si>
  <si>
    <t>AJAX ENGINEERING LTD</t>
  </si>
  <si>
    <t>AJAXENGG IN Equity</t>
  </si>
  <si>
    <t>INE274Y01021</t>
  </si>
  <si>
    <t>GOPAL SNACKS LTD</t>
  </si>
  <si>
    <t>GOPAL IN Equity</t>
  </si>
  <si>
    <t>INE0L9R01028</t>
  </si>
  <si>
    <t>Wt. Average Market Cap (INR Cr)</t>
  </si>
  <si>
    <t>WhiteOak Capital Research Select Portfolio</t>
  </si>
  <si>
    <t>MAX HEALTHCARE INSTITUTE LTD</t>
  </si>
  <si>
    <t>MAXHEALT IN Equity</t>
  </si>
  <si>
    <t>INE027H01010</t>
  </si>
  <si>
    <t>SAFARI INDUSTRIES INDIA LTD</t>
  </si>
  <si>
    <t>SII IN Equity</t>
  </si>
  <si>
    <t>INE429E01023</t>
  </si>
  <si>
    <t>MAX FINANCIAL SERVICES LTD</t>
  </si>
  <si>
    <t>MAXF IN Equity</t>
  </si>
  <si>
    <t>INE180A01020</t>
  </si>
  <si>
    <t>OIL INDIA LTD</t>
  </si>
  <si>
    <t>OINL IN Equity</t>
  </si>
  <si>
    <t>INE274J01014</t>
  </si>
  <si>
    <t>NEULAND LABORATORIES LTD</t>
  </si>
  <si>
    <t>NLL IN Equity</t>
  </si>
  <si>
    <t>INE794A01010</t>
  </si>
  <si>
    <t>WhiteOak Capital Research Select Equity Portfolio</t>
  </si>
  <si>
    <t>White Oak India Select Equity Portfolio</t>
  </si>
  <si>
    <t>PMS Portfolios</t>
  </si>
  <si>
    <t>Back to Index</t>
  </si>
  <si>
    <t>Returns</t>
  </si>
  <si>
    <t>NAV</t>
  </si>
  <si>
    <t>NAV &amp; MoM Returns</t>
  </si>
  <si>
    <t>P2P</t>
  </si>
  <si>
    <t>CY Returns</t>
  </si>
  <si>
    <t>FY Returns</t>
  </si>
  <si>
    <t>Scheme Name</t>
  </si>
  <si>
    <t>AUM</t>
  </si>
  <si>
    <t>Inception Date</t>
  </si>
  <si>
    <t xml:space="preserve">1M </t>
  </si>
  <si>
    <t xml:space="preserve">3M </t>
  </si>
  <si>
    <t xml:space="preserve">6M </t>
  </si>
  <si>
    <t xml:space="preserve">1Y </t>
  </si>
  <si>
    <t>2Y</t>
  </si>
  <si>
    <t>3Y</t>
  </si>
  <si>
    <t xml:space="preserve">4Y </t>
  </si>
  <si>
    <t xml:space="preserve">5Y </t>
  </si>
  <si>
    <t>CY19</t>
  </si>
  <si>
    <t>CY20</t>
  </si>
  <si>
    <t>CY21</t>
  </si>
  <si>
    <t>CY 22</t>
  </si>
  <si>
    <t>CY 23</t>
  </si>
  <si>
    <t>CY 24</t>
  </si>
  <si>
    <t>CY 25 TD</t>
  </si>
  <si>
    <t>FY21</t>
  </si>
  <si>
    <t>FY22</t>
  </si>
  <si>
    <t>FY 23</t>
  </si>
  <si>
    <t>FY 24</t>
  </si>
  <si>
    <t>FYTD 25</t>
  </si>
  <si>
    <t>--</t>
  </si>
  <si>
    <t>BSE 500 TR INR</t>
  </si>
  <si>
    <t xml:space="preserve">Returns less than 1 Year are Cumulative TWRR while more than 1 year are Annualised TWRR. </t>
  </si>
  <si>
    <t>WhiteOak India Business Leaders PMS NAV</t>
  </si>
  <si>
    <t>White Oak India Digital Leaders Portfolio NAV</t>
  </si>
  <si>
    <t>White Oak India Pioneers Equity Portfolio NAV</t>
  </si>
  <si>
    <t>WhiteOak Capital Research Select Equity Portfolio NAV</t>
  </si>
  <si>
    <t>White Oak India Select Equity Portfolio NAV</t>
  </si>
  <si>
    <t>MoM %</t>
  </si>
  <si>
    <t>BSE 500TR Index</t>
  </si>
  <si>
    <t>BSE 200TR Index</t>
  </si>
  <si>
    <t>Nifty India Digital</t>
  </si>
  <si>
    <t>BSE500TR Index</t>
  </si>
  <si>
    <t>ETERNAL LIMITED</t>
  </si>
  <si>
    <t>ETERNAL IN Equity</t>
  </si>
  <si>
    <t>AETHER INDUSTRIES LTD</t>
  </si>
  <si>
    <t>AETHER IN Equity</t>
  </si>
  <si>
    <t>INE0BWX01014</t>
  </si>
  <si>
    <t>TBO TEK LTD</t>
  </si>
  <si>
    <t>TBOTEK IN Equity</t>
  </si>
  <si>
    <t>INE673O01025</t>
  </si>
  <si>
    <t>INVENTURUS KNOWLEDGE SOLUTIONS LTD</t>
  </si>
  <si>
    <t>IKS IN Equity</t>
  </si>
  <si>
    <t>INE115Q01022</t>
  </si>
  <si>
    <t>WhiteOak Capital Select Equity Portfolio</t>
  </si>
  <si>
    <t>INTERNATIONAL GEMMOLOGICAL INSTITUTE INDIA LTD</t>
  </si>
  <si>
    <t>IGIL IN Equity</t>
  </si>
  <si>
    <t>INE0Q9301021</t>
  </si>
  <si>
    <t>MAST IN Equity</t>
  </si>
  <si>
    <t>MASTEK LTD</t>
  </si>
  <si>
    <t>INE759A01021</t>
  </si>
  <si>
    <t>ECLERX SERVICES LTD</t>
  </si>
  <si>
    <t>ECLX IN Equity</t>
  </si>
  <si>
    <t>INE738I01010</t>
  </si>
  <si>
    <t>TD POWER SYSTEMS LTD</t>
  </si>
  <si>
    <t>TDPS IN Equity</t>
  </si>
  <si>
    <t>INE419M01027</t>
  </si>
  <si>
    <t>As on 31st Aug'25</t>
  </si>
  <si>
    <t>PIRAMAL PHARMA LTD</t>
  </si>
  <si>
    <t>PIRPHARM IN Equity</t>
  </si>
  <si>
    <t>INE0DK501011</t>
  </si>
  <si>
    <t>CARE RATINGS LTD</t>
  </si>
  <si>
    <t>CARE IN Equity</t>
  </si>
  <si>
    <t>INE752H01013</t>
  </si>
  <si>
    <t>PHOENIX MILLS LTD</t>
  </si>
  <si>
    <t>PHNX IN Equity</t>
  </si>
  <si>
    <t>INE211B01039</t>
  </si>
  <si>
    <t>DYNAMATIC TECHNOLOGIES LTD</t>
  </si>
  <si>
    <t>DYTC IN Equity</t>
  </si>
  <si>
    <t>INE221B01012</t>
  </si>
  <si>
    <t>ONE 97 COMMUNICATIONS LTD</t>
  </si>
  <si>
    <t>PAYTM IN Equity</t>
  </si>
  <si>
    <t>INE982J01020</t>
  </si>
  <si>
    <t>MANAPPURAM FINANCE LTD</t>
  </si>
  <si>
    <t>MGFL IN Equity</t>
  </si>
  <si>
    <t>INE522D01027</t>
  </si>
  <si>
    <t>INE663F01032</t>
  </si>
  <si>
    <t>INE591G01025</t>
  </si>
  <si>
    <t>MOTILAL OSWAL FINANCIAL SERVICES LTD</t>
  </si>
  <si>
    <t>MOFS IN Equity</t>
  </si>
  <si>
    <t>INE338I01027</t>
  </si>
  <si>
    <t>ADITYA INFOTECH LTD</t>
  </si>
  <si>
    <t>CPPLUS IN Equity</t>
  </si>
  <si>
    <t>INE819V01029</t>
  </si>
  <si>
    <t>SONA BLW PRECISION FORGINGS LTD</t>
  </si>
  <si>
    <t>SONACOMS IN Equity</t>
  </si>
  <si>
    <t>INE073K01018</t>
  </si>
  <si>
    <t>PHYSICSWALLAH LTD</t>
  </si>
  <si>
    <t>PHYSICS IN EQUITY</t>
  </si>
  <si>
    <t>INE0LP301011</t>
  </si>
  <si>
    <t>INE596I01020</t>
  </si>
  <si>
    <t>LATENT VIEW ANALYTICS LTD</t>
  </si>
  <si>
    <t>LATENTVI IN Equity</t>
  </si>
  <si>
    <t>INE0I7C01011</t>
  </si>
  <si>
    <t>BILLIONBRAINS GARAGE VENTURES LTD</t>
  </si>
  <si>
    <t>GROWW IN Equity</t>
  </si>
  <si>
    <t>INE0HOQ01053</t>
  </si>
  <si>
    <t>All data as of Jan 31, 2026. Performance is calculated basis time weighted rate of return method net of all fees and expenses; Individual client performance may differ. Past performance is not indicative of future results. Performance shown since September 27, 2018, as client monies were managed from this date. Performance related information provided herein is not verified by SEBI. Returns have been calculated using Time Weighted Rate of Return (TWRR) method as prescribed by SEBI. Past performance is not a reliable indicator of future results. Please note that performance of your portfolio may vary from that of other investors and that generated by the Investment Approach across all investors because of 1) the timing of inflows and outflows of funds; and 2) differences in the portfolio composition because of restrictions and other constraints. Performance relative to other Portfolio Managers within the selected Strategy : Click HereAll returns and % changes are in INR terms unless otherwise stated. Marketcap Classification as per Securities and Exchange Board of India (SEBI) guidelines for Mutual Funds. Additional information on the classification methodology is available upon request.</t>
  </si>
  <si>
    <t>7Y</t>
  </si>
  <si>
    <t>SI</t>
  </si>
  <si>
    <t>As on 31st Jan'26</t>
  </si>
  <si>
    <t>ELGI EQUIPMENTS LTD</t>
  </si>
  <si>
    <t>ELEQ IN Equity</t>
  </si>
  <si>
    <t>INE285A01027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</si>
</sst>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_ ;_ * \-#,##0_ ;_ * &quot;-&quot;??_ ;_ @_ "/>
  </numFmts>
  <fonts count="16" x14ac:knownFonts="1">
    <font>
      <sz val="11"/>
      <color theme="1"/>
      <name val="Aptos Narrow"/>
      <family val="2"/>
      <scheme val="minor"/>
    </font>
    <font>
      <sz val="11"/>
      <color theme="1"/>
      <name val="Aptos Narrow"/>
      <family val="2"/>
      <scheme val="minor"/>
    </font>
    <font>
      <b/>
      <sz val="10"/>
      <color theme="1"/>
      <name val="Calibri"/>
      <family val="2"/>
    </font>
    <font>
      <sz val="10"/>
      <color theme="1"/>
      <name val="Calibri"/>
      <family val="2"/>
    </font>
    <font>
      <sz val="10"/>
      <color theme="1"/>
      <name val="Aptos Narrow"/>
      <family val="2"/>
      <scheme val="minor"/>
    </font>
    <font>
      <b/>
      <sz val="10"/>
      <color rgb="FF000000"/>
      <name val="Calibri"/>
      <family val="2"/>
    </font>
    <font>
      <b/>
      <sz val="10"/>
      <color theme="1"/>
      <name val="Aptos Narrow"/>
      <family val="2"/>
      <scheme val="minor"/>
    </font>
    <font>
      <sz val="11"/>
      <color theme="1"/>
      <name val="Calibri"/>
      <family val="2"/>
    </font>
    <font>
      <b/>
      <sz val="11"/>
      <color theme="1"/>
      <name val="Calibri"/>
      <family val="2"/>
    </font>
    <font>
      <u/>
      <sz val="11"/>
      <color theme="10"/>
      <name val="Aptos Narrow"/>
      <family val="2"/>
      <scheme val="minor"/>
    </font>
    <font>
      <b/>
      <u/>
      <sz val="11"/>
      <color theme="1"/>
      <name val="Aptos Narrow"/>
      <family val="2"/>
      <scheme val="minor"/>
    </font>
    <font>
      <b/>
      <sz val="9"/>
      <color theme="1"/>
      <name val="Aptos Narrow"/>
      <family val="2"/>
      <scheme val="minor"/>
    </font>
    <font>
      <b/>
      <sz val="10"/>
      <color theme="0"/>
      <name val="Calibri"/>
      <family val="2"/>
    </font>
    <font>
      <sz val="10"/>
      <color rgb="FF000000"/>
      <name val="Calibri"/>
      <family val="2"/>
    </font>
    <font>
      <sz val="9"/>
      <color theme="1"/>
      <name val="Calibri"/>
      <family val="2"/>
    </font>
    <font>
      <b/>
      <sz val="12"/>
      <color theme="1"/>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E2EFDA"/>
        <bgColor rgb="FF000000"/>
      </patternFill>
    </fill>
    <fill>
      <patternFill patternType="solid">
        <fgColor rgb="FFFFFF00"/>
        <bgColor indexed="64"/>
      </patternFill>
    </fill>
    <fill>
      <patternFill patternType="solid">
        <fgColor theme="0" tint="-0.499984740745262"/>
        <bgColor indexed="64"/>
      </patternFill>
    </fill>
    <fill>
      <patternFill patternType="solid">
        <fgColor theme="0" tint="-0.249977111117893"/>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51">
    <xf numFmtId="0" fontId="0" fillId="0" borderId="0" xfId="0"/>
    <xf numFmtId="0" fontId="4" fillId="0" borderId="0" xfId="0" applyFont="1"/>
    <xf numFmtId="0" fontId="2"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15" fontId="3" fillId="0" borderId="2" xfId="0" applyNumberFormat="1" applyFont="1" applyBorder="1"/>
    <xf numFmtId="0" fontId="3" fillId="0" borderId="2" xfId="0" applyFont="1" applyBorder="1"/>
    <xf numFmtId="164" fontId="3" fillId="0" borderId="2" xfId="2" applyNumberFormat="1" applyFont="1" applyBorder="1" applyAlignment="1"/>
    <xf numFmtId="0" fontId="4" fillId="0" borderId="2" xfId="0" applyFont="1" applyBorder="1"/>
    <xf numFmtId="164" fontId="4" fillId="0" borderId="2" xfId="2" applyNumberFormat="1" applyFont="1" applyBorder="1" applyAlignment="1">
      <alignment horizontal="center"/>
    </xf>
    <xf numFmtId="164" fontId="4" fillId="0" borderId="2" xfId="0" applyNumberFormat="1" applyFont="1" applyBorder="1" applyAlignment="1">
      <alignment horizontal="center"/>
    </xf>
    <xf numFmtId="165" fontId="4" fillId="0" borderId="2" xfId="1" applyNumberFormat="1" applyFont="1" applyBorder="1" applyAlignment="1">
      <alignment horizontal="center" vertical="center"/>
    </xf>
    <xf numFmtId="0" fontId="8" fillId="0" borderId="0" xfId="0" applyFont="1" applyAlignment="1">
      <alignment horizontal="center" vertical="center"/>
    </xf>
    <xf numFmtId="0" fontId="7" fillId="0" borderId="0" xfId="0" applyFont="1" applyAlignment="1">
      <alignment vertical="center"/>
    </xf>
    <xf numFmtId="0" fontId="9" fillId="0" borderId="0" xfId="3" applyAlignment="1">
      <alignment vertical="center"/>
    </xf>
    <xf numFmtId="0" fontId="9" fillId="0" borderId="0" xfId="3" applyFill="1"/>
    <xf numFmtId="0" fontId="3" fillId="0" borderId="0" xfId="0" applyFont="1" applyAlignment="1">
      <alignment vertical="center"/>
    </xf>
    <xf numFmtId="0" fontId="5" fillId="3"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13" fillId="0" borderId="2" xfId="0" applyFont="1" applyBorder="1" applyAlignment="1">
      <alignment horizontal="left" vertical="center" wrapText="1"/>
    </xf>
    <xf numFmtId="164" fontId="13" fillId="0" borderId="2" xfId="2" applyNumberFormat="1" applyFont="1" applyFill="1" applyBorder="1" applyAlignment="1">
      <alignment horizontal="center" vertical="center"/>
    </xf>
    <xf numFmtId="164" fontId="13" fillId="0" borderId="6" xfId="2" applyNumberFormat="1" applyFont="1" applyFill="1" applyBorder="1" applyAlignment="1">
      <alignment horizontal="center" vertical="center"/>
    </xf>
    <xf numFmtId="0" fontId="3" fillId="6" borderId="0" xfId="0" applyFont="1" applyFill="1" applyAlignment="1">
      <alignment vertical="center"/>
    </xf>
    <xf numFmtId="164" fontId="13" fillId="0" borderId="2" xfId="2" quotePrefix="1" applyNumberFormat="1" applyFont="1" applyFill="1" applyBorder="1" applyAlignment="1">
      <alignment horizontal="center" vertical="center"/>
    </xf>
    <xf numFmtId="164" fontId="3" fillId="0" borderId="2" xfId="2" applyNumberFormat="1" applyFont="1" applyBorder="1" applyAlignment="1">
      <alignment horizontal="center" vertical="center"/>
    </xf>
    <xf numFmtId="17" fontId="3" fillId="0" borderId="2" xfId="0" applyNumberFormat="1" applyFont="1" applyBorder="1"/>
    <xf numFmtId="43" fontId="3" fillId="0" borderId="2" xfId="1" applyFont="1" applyBorder="1"/>
    <xf numFmtId="165" fontId="3" fillId="0" borderId="2" xfId="1" applyNumberFormat="1" applyFont="1" applyBorder="1"/>
    <xf numFmtId="164" fontId="3" fillId="0" borderId="2" xfId="2" applyNumberFormat="1" applyFont="1" applyBorder="1"/>
    <xf numFmtId="17" fontId="3" fillId="0" borderId="0" xfId="0" applyNumberFormat="1" applyFont="1"/>
    <xf numFmtId="43" fontId="3" fillId="0" borderId="0" xfId="1" applyFont="1" applyBorder="1"/>
    <xf numFmtId="164" fontId="3" fillId="0" borderId="0" xfId="2" applyNumberFormat="1" applyFont="1" applyBorder="1"/>
    <xf numFmtId="165" fontId="3" fillId="0" borderId="0" xfId="1" applyNumberFormat="1" applyFont="1" applyBorder="1"/>
    <xf numFmtId="0" fontId="14" fillId="0" borderId="0" xfId="0" applyFont="1" applyAlignment="1">
      <alignment vertical="top" wrapText="1"/>
    </xf>
    <xf numFmtId="0" fontId="12" fillId="5" borderId="2"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6" xfId="0" applyFont="1" applyFill="1" applyBorder="1" applyAlignment="1">
      <alignment horizontal="center" vertical="center"/>
    </xf>
    <xf numFmtId="1" fontId="3" fillId="0" borderId="8" xfId="0" applyNumberFormat="1" applyFont="1" applyBorder="1" applyAlignment="1">
      <alignment horizontal="center" vertical="center"/>
    </xf>
    <xf numFmtId="1" fontId="3" fillId="0" borderId="9" xfId="0" applyNumberFormat="1" applyFont="1" applyBorder="1" applyAlignment="1">
      <alignment horizontal="center" vertical="center"/>
    </xf>
    <xf numFmtId="15"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14" fillId="0" borderId="0" xfId="0" applyFont="1" applyAlignment="1">
      <alignment horizontal="left" vertical="top" wrapText="1"/>
    </xf>
    <xf numFmtId="0" fontId="12" fillId="5" borderId="7" xfId="0" applyFont="1" applyFill="1" applyBorder="1" applyAlignment="1">
      <alignment horizontal="center" vertical="center"/>
    </xf>
    <xf numFmtId="0" fontId="12" fillId="5" borderId="1" xfId="0" applyFont="1" applyFill="1" applyBorder="1" applyAlignment="1">
      <alignment horizontal="center" vertical="center"/>
    </xf>
    <xf numFmtId="0" fontId="2" fillId="4" borderId="2" xfId="0" applyFont="1" applyFill="1" applyBorder="1" applyAlignment="1">
      <alignment horizontal="center" vertical="center"/>
    </xf>
    <xf numFmtId="0" fontId="15" fillId="0" borderId="2" xfId="0" applyFont="1" applyBorder="1" applyAlignment="1">
      <alignment horizontal="center"/>
    </xf>
    <xf numFmtId="0" fontId="2" fillId="0" borderId="1" xfId="0" applyFont="1" applyBorder="1" applyAlignment="1">
      <alignment horizontal="center" vertical="center"/>
    </xf>
    <xf numFmtId="0" fontId="6" fillId="2" borderId="2" xfId="0" applyFont="1" applyFill="1" applyBorder="1" applyAlignment="1">
      <alignment horizontal="center" vertical="center" wrapText="1"/>
    </xf>
    <xf numFmtId="0" fontId="10" fillId="4" borderId="1" xfId="3" applyFont="1" applyFill="1" applyBorder="1" applyAlignment="1">
      <alignment horizontal="center" vertical="center"/>
    </xf>
    <xf numFmtId="0" fontId="11" fillId="0" borderId="3" xfId="0" applyFont="1" applyBorder="1" applyAlignment="1">
      <alignment horizontal="left" vertical="center"/>
    </xf>
  </cellXfs>
  <cellStyles count="4">
    <cellStyle name="Comma" xfId="1" builtinId="3"/>
    <cellStyle name="Hyperlink" xfId="3" builtinId="8"/>
    <cellStyle name="Normal" xfId="0" builtinId="0"/>
    <cellStyle name="Percent" xfId="2"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57142-C7F9-4E09-B452-FB9A46FC2551}">
  <dimension ref="A1:A9"/>
  <sheetViews>
    <sheetView tabSelected="1" workbookViewId="0"/>
  </sheetViews>
  <sheetFormatPr defaultRowHeight="15" x14ac:dyDescent="0.25"/>
  <cols>
    <col min="1" max="1" width="45.28515625" style="12" bestFit="1" customWidth="1"/>
    <col min="2" max="2" width="9.140625" style="12"/>
    <col min="3" max="3" width="45.28515625" style="12" bestFit="1" customWidth="1"/>
    <col min="4" max="16384" width="9.140625" style="12"/>
  </cols>
  <sheetData>
    <row r="1" spans="1:1" x14ac:dyDescent="0.25">
      <c r="A1" s="13" t="s">
        <v>263</v>
      </c>
    </row>
    <row r="2" spans="1:1" x14ac:dyDescent="0.25">
      <c r="A2" s="13" t="s">
        <v>265</v>
      </c>
    </row>
    <row r="4" spans="1:1" x14ac:dyDescent="0.25">
      <c r="A4" s="11" t="s">
        <v>261</v>
      </c>
    </row>
    <row r="5" spans="1:1" x14ac:dyDescent="0.25">
      <c r="A5" s="14" t="s">
        <v>0</v>
      </c>
    </row>
    <row r="6" spans="1:1" x14ac:dyDescent="0.25">
      <c r="A6" s="13" t="s">
        <v>145</v>
      </c>
    </row>
    <row r="7" spans="1:1" x14ac:dyDescent="0.25">
      <c r="A7" s="13" t="s">
        <v>187</v>
      </c>
    </row>
    <row r="8" spans="1:1" x14ac:dyDescent="0.25">
      <c r="A8" s="13" t="s">
        <v>259</v>
      </c>
    </row>
    <row r="9" spans="1:1" x14ac:dyDescent="0.25">
      <c r="A9" s="13" t="s">
        <v>260</v>
      </c>
    </row>
  </sheetData>
  <hyperlinks>
    <hyperlink ref="A5" location="'Business Leaders'!A1" display="WhiteOak India Business Leaders PMS" xr:uid="{A00AD991-3DA8-4E97-9B1E-9E035E8F8AA5}"/>
    <hyperlink ref="A6" location="'Digital Leaders'!A1" display="White Oak India Digital Leaders Portfolio" xr:uid="{1A28BE23-44B4-4D83-9778-D1BF799AF5A0}"/>
    <hyperlink ref="A7" location="'Pioneers Equity'!A1" display="White Oak India Pioneers Equity Portfolio" xr:uid="{C08AB2D7-F7A1-484F-A5B5-93AED34DA45D}"/>
    <hyperlink ref="A8" location="'Research Select'!A1" display="WhiteOak Capital Research Select Equity Portfolio" xr:uid="{8748388D-E94E-4245-9A05-5D16AA54F11F}"/>
    <hyperlink ref="A9" location="'Select Equity'!A1" display="White Oak India Select Equity Portfolio" xr:uid="{F8338D86-5694-4B0C-8FF2-0EA89E4FB4E6}"/>
    <hyperlink ref="A1" location="'PMS Returns'!A1" display="Returns" xr:uid="{BA47FDAF-0075-4115-A189-D7530FDBA114}"/>
    <hyperlink ref="A2" location="'PMS NAV'!A1" display="NAV &amp; MoM Returns" xr:uid="{60255F89-27F9-4B0B-883A-BE833A8EB7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4DB-4761-4022-A3E8-11FB173485D3}">
  <dimension ref="A1:AA25"/>
  <sheetViews>
    <sheetView zoomScale="95" zoomScaleNormal="95" workbookViewId="0">
      <pane xSplit="3" ySplit="2" topLeftCell="K3" activePane="bottomRight" state="frozen"/>
      <selection activeCell="A3" sqref="A3"/>
      <selection pane="topRight" activeCell="A3" sqref="A3"/>
      <selection pane="bottomLeft" activeCell="A3" sqref="A3"/>
      <selection pane="bottomRight" activeCell="A2" sqref="A2"/>
    </sheetView>
  </sheetViews>
  <sheetFormatPr defaultRowHeight="12.75" x14ac:dyDescent="0.25"/>
  <cols>
    <col min="1" max="1" width="25.85546875" style="15" customWidth="1"/>
    <col min="2" max="2" width="9.140625" style="15" customWidth="1"/>
    <col min="3" max="3" width="12.28515625" style="15" customWidth="1"/>
    <col min="4" max="6" width="9.140625" style="15" customWidth="1"/>
    <col min="7" max="7" width="9.140625" style="15"/>
    <col min="8" max="8" width="9.140625" style="15" customWidth="1"/>
    <col min="9" max="9" width="9.140625" style="15"/>
    <col min="10" max="10" width="9.140625" style="15" customWidth="1"/>
    <col min="11" max="11" width="9.140625" style="15"/>
    <col min="12" max="12" width="9.140625" style="15" customWidth="1"/>
    <col min="13" max="13" width="9.140625" style="15"/>
    <col min="14" max="14" width="1.140625" style="15" customWidth="1"/>
    <col min="15" max="21" width="9.140625" style="15"/>
    <col min="22" max="22" width="1.140625" style="15" customWidth="1"/>
    <col min="23" max="16384" width="9.140625" style="15"/>
  </cols>
  <sheetData>
    <row r="1" spans="1:27" x14ac:dyDescent="0.25">
      <c r="D1" s="34" t="s">
        <v>266</v>
      </c>
      <c r="E1" s="34"/>
      <c r="F1" s="34"/>
      <c r="G1" s="34"/>
      <c r="H1" s="34"/>
      <c r="I1" s="34"/>
      <c r="J1" s="34"/>
      <c r="K1" s="34"/>
      <c r="L1" s="34"/>
      <c r="M1" s="34"/>
      <c r="N1" s="34"/>
      <c r="O1" s="35" t="s">
        <v>267</v>
      </c>
      <c r="P1" s="36"/>
      <c r="Q1" s="36"/>
      <c r="R1" s="36"/>
      <c r="S1" s="36"/>
      <c r="T1" s="36"/>
      <c r="U1" s="37"/>
      <c r="V1" s="34"/>
      <c r="W1" s="43" t="s">
        <v>268</v>
      </c>
      <c r="X1" s="44"/>
      <c r="Y1" s="44"/>
      <c r="Z1" s="44"/>
      <c r="AA1" s="44"/>
    </row>
    <row r="2" spans="1:27" ht="25.5" x14ac:dyDescent="0.25">
      <c r="A2" s="3" t="s">
        <v>269</v>
      </c>
      <c r="B2" s="3" t="s">
        <v>270</v>
      </c>
      <c r="C2" s="3" t="s">
        <v>271</v>
      </c>
      <c r="D2" s="3" t="s">
        <v>272</v>
      </c>
      <c r="E2" s="3" t="s">
        <v>273</v>
      </c>
      <c r="F2" s="3" t="s">
        <v>274</v>
      </c>
      <c r="G2" s="16" t="s">
        <v>275</v>
      </c>
      <c r="H2" s="3" t="s">
        <v>276</v>
      </c>
      <c r="I2" s="3" t="s">
        <v>277</v>
      </c>
      <c r="J2" s="3" t="s">
        <v>278</v>
      </c>
      <c r="K2" s="3" t="s">
        <v>279</v>
      </c>
      <c r="L2" s="3" t="s">
        <v>370</v>
      </c>
      <c r="M2" s="3" t="s">
        <v>371</v>
      </c>
      <c r="N2" s="34"/>
      <c r="O2" s="17" t="s">
        <v>280</v>
      </c>
      <c r="P2" s="18" t="s">
        <v>281</v>
      </c>
      <c r="Q2" s="18" t="s">
        <v>282</v>
      </c>
      <c r="R2" s="18" t="s">
        <v>283</v>
      </c>
      <c r="S2" s="18" t="s">
        <v>284</v>
      </c>
      <c r="T2" s="18" t="s">
        <v>285</v>
      </c>
      <c r="U2" s="18" t="s">
        <v>286</v>
      </c>
      <c r="V2" s="34"/>
      <c r="W2" s="18" t="s">
        <v>287</v>
      </c>
      <c r="X2" s="18" t="s">
        <v>288</v>
      </c>
      <c r="Y2" s="18" t="s">
        <v>289</v>
      </c>
      <c r="Z2" s="18" t="s">
        <v>290</v>
      </c>
      <c r="AA2" s="18" t="s">
        <v>291</v>
      </c>
    </row>
    <row r="3" spans="1:27" ht="25.5" x14ac:dyDescent="0.25">
      <c r="A3" s="19" t="s">
        <v>187</v>
      </c>
      <c r="B3" s="38">
        <v>3533</v>
      </c>
      <c r="C3" s="40">
        <v>43370</v>
      </c>
      <c r="D3" s="20">
        <v>-4.1399999999999999E-2</v>
      </c>
      <c r="E3" s="20">
        <v>-4.9400000000000006E-2</v>
      </c>
      <c r="F3" s="20">
        <v>-3.2000000000000001E-2</v>
      </c>
      <c r="G3" s="20">
        <v>4.0199999999999993E-2</v>
      </c>
      <c r="H3" s="20">
        <v>8.1000000000000003E-2</v>
      </c>
      <c r="I3" s="20">
        <v>0.13669999999999999</v>
      </c>
      <c r="J3" s="20">
        <v>8.3599999999999994E-2</v>
      </c>
      <c r="K3" s="20">
        <v>0.12990000000000002</v>
      </c>
      <c r="L3" s="20">
        <v>0.15570000000000001</v>
      </c>
      <c r="M3" s="20">
        <v>0.153</v>
      </c>
      <c r="N3" s="34"/>
      <c r="O3" s="21">
        <v>0.13319519135571145</v>
      </c>
      <c r="P3" s="20">
        <v>0.3491812443597162</v>
      </c>
      <c r="Q3" s="20">
        <v>0.34439676653951401</v>
      </c>
      <c r="R3" s="20">
        <v>-6.6045720014455189E-2</v>
      </c>
      <c r="S3" s="20">
        <v>0.21957527328645221</v>
      </c>
      <c r="T3" s="20">
        <v>0.17765000634535943</v>
      </c>
      <c r="U3" s="20">
        <v>-4.1399999999999999E-2</v>
      </c>
      <c r="V3" s="34"/>
      <c r="W3" s="20">
        <v>0.75512236605682337</v>
      </c>
      <c r="X3" s="20">
        <v>0.19876831923735283</v>
      </c>
      <c r="Y3" s="20">
        <v>-7.8222177747888311E-2</v>
      </c>
      <c r="Z3" s="20">
        <v>0.32572959344133534</v>
      </c>
      <c r="AA3" s="20">
        <v>4.3357918696706799E-2</v>
      </c>
    </row>
    <row r="4" spans="1:27" x14ac:dyDescent="0.25">
      <c r="A4" s="19" t="s">
        <v>293</v>
      </c>
      <c r="B4" s="39"/>
      <c r="C4" s="41"/>
      <c r="D4" s="20">
        <v>-3.3399999999999999E-2</v>
      </c>
      <c r="E4" s="20">
        <v>-2.64E-2</v>
      </c>
      <c r="F4" s="20">
        <v>9.7999999999999997E-3</v>
      </c>
      <c r="G4" s="20">
        <v>7.7399999999999997E-2</v>
      </c>
      <c r="H4" s="20">
        <v>8.72E-2</v>
      </c>
      <c r="I4" s="20">
        <v>0.16399999999999998</v>
      </c>
      <c r="J4" s="20">
        <v>0.12529999999999999</v>
      </c>
      <c r="K4" s="20">
        <v>0.16440000000000002</v>
      </c>
      <c r="L4" s="20">
        <v>0.15609999999999999</v>
      </c>
      <c r="M4" s="20">
        <v>0.1454</v>
      </c>
      <c r="N4" s="34"/>
      <c r="O4" s="21">
        <v>8.9821551444109415E-2</v>
      </c>
      <c r="P4" s="20">
        <v>0.18410481907502918</v>
      </c>
      <c r="Q4" s="20">
        <v>0.31631814829266958</v>
      </c>
      <c r="R4" s="20">
        <v>4.7651653479407585E-2</v>
      </c>
      <c r="S4" s="20">
        <v>0.26546394619062919</v>
      </c>
      <c r="T4" s="20">
        <v>0.15809837093622625</v>
      </c>
      <c r="U4" s="20">
        <v>-3.3399999999999999E-2</v>
      </c>
      <c r="V4" s="34"/>
      <c r="W4" s="20">
        <v>0.78626469683441247</v>
      </c>
      <c r="X4" s="20">
        <v>0.22259480484567429</v>
      </c>
      <c r="Y4" s="20">
        <v>-9.1197471867551227E-3</v>
      </c>
      <c r="Z4" s="20">
        <v>0.40163893784567128</v>
      </c>
      <c r="AA4" s="20">
        <v>8.8137873777362374E-2</v>
      </c>
    </row>
    <row r="5" spans="1:27" ht="6" customHeight="1" x14ac:dyDescent="0.25">
      <c r="A5" s="22"/>
      <c r="B5" s="22"/>
      <c r="C5" s="22"/>
      <c r="D5" s="22"/>
      <c r="E5" s="22"/>
      <c r="F5" s="22"/>
      <c r="G5" s="22"/>
      <c r="H5" s="22"/>
      <c r="I5" s="22"/>
      <c r="J5" s="22"/>
      <c r="K5" s="22"/>
      <c r="L5" s="22"/>
      <c r="M5" s="22"/>
      <c r="N5" s="34"/>
      <c r="O5" s="22"/>
      <c r="P5" s="22"/>
      <c r="Q5" s="22"/>
      <c r="R5" s="22"/>
      <c r="S5" s="22"/>
      <c r="T5" s="22"/>
      <c r="U5" s="22"/>
      <c r="V5" s="34"/>
      <c r="W5" s="22"/>
      <c r="X5" s="22"/>
      <c r="Y5" s="22"/>
      <c r="Z5" s="22"/>
      <c r="AA5" s="22"/>
    </row>
    <row r="6" spans="1:27" ht="25.5" x14ac:dyDescent="0.25">
      <c r="A6" s="19" t="s">
        <v>0</v>
      </c>
      <c r="B6" s="38">
        <v>77</v>
      </c>
      <c r="C6" s="40">
        <v>44217</v>
      </c>
      <c r="D6" s="20">
        <v>-2.9100000000000001E-2</v>
      </c>
      <c r="E6" s="20">
        <v>-2.2200000000000001E-2</v>
      </c>
      <c r="F6" s="20">
        <v>-2.8999999999999998E-3</v>
      </c>
      <c r="G6" s="20">
        <v>6.7099999999999993E-2</v>
      </c>
      <c r="H6" s="20">
        <v>0.1016</v>
      </c>
      <c r="I6" s="20">
        <v>0.14180000000000001</v>
      </c>
      <c r="J6" s="20">
        <v>8.8699999999999987E-2</v>
      </c>
      <c r="K6" s="23">
        <v>0.126</v>
      </c>
      <c r="L6" s="20" t="s">
        <v>292</v>
      </c>
      <c r="M6" s="24">
        <v>0.1166</v>
      </c>
      <c r="N6" s="34"/>
      <c r="O6" s="21" t="s">
        <v>292</v>
      </c>
      <c r="P6" s="20" t="s">
        <v>292</v>
      </c>
      <c r="Q6" s="20" t="s">
        <v>292</v>
      </c>
      <c r="R6" s="20">
        <v>-6.1376548022475941E-2</v>
      </c>
      <c r="S6" s="20">
        <v>0.19614091780401455</v>
      </c>
      <c r="T6" s="20">
        <v>0.17930302286253785</v>
      </c>
      <c r="U6" s="20">
        <v>-2.9100000000000001E-2</v>
      </c>
      <c r="V6" s="34"/>
      <c r="W6" s="20" t="s">
        <v>292</v>
      </c>
      <c r="X6" s="20">
        <v>0.19143085841802709</v>
      </c>
      <c r="Y6" s="20">
        <v>-6.7925484007042458E-2</v>
      </c>
      <c r="Z6" s="20">
        <v>0.29736834977768889</v>
      </c>
      <c r="AA6" s="20">
        <v>6.13934539175649E-2</v>
      </c>
    </row>
    <row r="7" spans="1:27" x14ac:dyDescent="0.25">
      <c r="A7" s="19" t="s">
        <v>293</v>
      </c>
      <c r="B7" s="39"/>
      <c r="C7" s="41"/>
      <c r="D7" s="20">
        <v>-3.3399999999999999E-2</v>
      </c>
      <c r="E7" s="20">
        <v>-2.64E-2</v>
      </c>
      <c r="F7" s="20">
        <v>9.7999999999999997E-3</v>
      </c>
      <c r="G7" s="20">
        <v>7.7399999999999997E-2</v>
      </c>
      <c r="H7" s="20">
        <v>8.72E-2</v>
      </c>
      <c r="I7" s="20">
        <v>0.16399999999999998</v>
      </c>
      <c r="J7" s="20">
        <v>0.12529999999999999</v>
      </c>
      <c r="K7" s="20">
        <v>0.16440000000000002</v>
      </c>
      <c r="L7" s="20" t="s">
        <v>292</v>
      </c>
      <c r="M7" s="24">
        <v>0.14949999999999999</v>
      </c>
      <c r="N7" s="34"/>
      <c r="O7" s="21" t="s">
        <v>292</v>
      </c>
      <c r="P7" s="20" t="s">
        <v>292</v>
      </c>
      <c r="Q7" s="20" t="s">
        <v>292</v>
      </c>
      <c r="R7" s="20">
        <v>4.7651653479407585E-2</v>
      </c>
      <c r="S7" s="20">
        <v>0.26546394619062919</v>
      </c>
      <c r="T7" s="20">
        <v>0.15809837093622625</v>
      </c>
      <c r="U7" s="20">
        <v>-3.3399999999999999E-2</v>
      </c>
      <c r="V7" s="34"/>
      <c r="W7" s="20" t="s">
        <v>292</v>
      </c>
      <c r="X7" s="20">
        <v>0.22259480484567429</v>
      </c>
      <c r="Y7" s="20">
        <v>-9.1197471867551227E-3</v>
      </c>
      <c r="Z7" s="20">
        <v>0.40163893784567128</v>
      </c>
      <c r="AA7" s="20">
        <v>8.8137873777362374E-2</v>
      </c>
    </row>
    <row r="8" spans="1:27" ht="6.75" customHeight="1" x14ac:dyDescent="0.25">
      <c r="A8" s="22"/>
      <c r="B8" s="22"/>
      <c r="C8" s="22"/>
      <c r="D8" s="22"/>
      <c r="E8" s="22"/>
      <c r="F8" s="22"/>
      <c r="G8" s="22"/>
      <c r="H8" s="22"/>
      <c r="I8" s="22"/>
      <c r="J8" s="22"/>
      <c r="K8" s="22"/>
      <c r="L8" s="22"/>
      <c r="M8" s="22"/>
      <c r="N8" s="34"/>
      <c r="O8" s="22"/>
      <c r="P8" s="22"/>
      <c r="Q8" s="22"/>
      <c r="R8" s="22"/>
      <c r="S8" s="22"/>
      <c r="T8" s="22"/>
      <c r="U8" s="22"/>
      <c r="V8" s="34"/>
      <c r="W8" s="22"/>
      <c r="X8" s="22"/>
      <c r="Y8" s="22"/>
      <c r="Z8" s="22"/>
      <c r="AA8" s="22"/>
    </row>
    <row r="9" spans="1:27" ht="25.5" x14ac:dyDescent="0.25">
      <c r="A9" s="19" t="s">
        <v>145</v>
      </c>
      <c r="B9" s="38">
        <v>71</v>
      </c>
      <c r="C9" s="40">
        <v>44566</v>
      </c>
      <c r="D9" s="24">
        <v>-5.2199999999999996E-2</v>
      </c>
      <c r="E9" s="24">
        <v>-8.77E-2</v>
      </c>
      <c r="F9" s="24">
        <v>-5.6600000000000004E-2</v>
      </c>
      <c r="G9" s="24">
        <v>5.6000000000000008E-3</v>
      </c>
      <c r="H9" s="24">
        <v>8.0799999999999997E-2</v>
      </c>
      <c r="I9" s="24">
        <v>0.14580000000000001</v>
      </c>
      <c r="J9" s="20">
        <v>5.6500000000000002E-2</v>
      </c>
      <c r="K9" s="20" t="s">
        <v>292</v>
      </c>
      <c r="L9" s="20" t="s">
        <v>292</v>
      </c>
      <c r="M9" s="24">
        <v>3.15E-2</v>
      </c>
      <c r="N9" s="34"/>
      <c r="O9" s="21" t="s">
        <v>292</v>
      </c>
      <c r="P9" s="20" t="s">
        <v>292</v>
      </c>
      <c r="Q9" s="20" t="s">
        <v>292</v>
      </c>
      <c r="R9" s="20" t="s">
        <v>292</v>
      </c>
      <c r="S9" s="20" t="s">
        <v>292</v>
      </c>
      <c r="T9" s="20" t="s">
        <v>292</v>
      </c>
      <c r="U9" s="20" t="s">
        <v>292</v>
      </c>
      <c r="V9" s="34"/>
      <c r="W9" s="20" t="s">
        <v>292</v>
      </c>
      <c r="X9" s="20" t="s">
        <v>292</v>
      </c>
      <c r="Y9" s="20" t="s">
        <v>292</v>
      </c>
      <c r="Z9" s="20" t="s">
        <v>292</v>
      </c>
      <c r="AA9" s="20" t="s">
        <v>292</v>
      </c>
    </row>
    <row r="10" spans="1:27" x14ac:dyDescent="0.25">
      <c r="A10" s="19" t="s">
        <v>293</v>
      </c>
      <c r="B10" s="39"/>
      <c r="C10" s="41"/>
      <c r="D10" s="24">
        <v>-3.3399999999999999E-2</v>
      </c>
      <c r="E10" s="24">
        <v>-2.64E-2</v>
      </c>
      <c r="F10" s="24">
        <v>9.7999999999999997E-3</v>
      </c>
      <c r="G10" s="24">
        <v>7.7399999999999997E-2</v>
      </c>
      <c r="H10" s="24">
        <v>8.72E-2</v>
      </c>
      <c r="I10" s="24">
        <v>0.16399999999999998</v>
      </c>
      <c r="J10" s="20">
        <v>0.12529999999999999</v>
      </c>
      <c r="K10" s="20" t="s">
        <v>292</v>
      </c>
      <c r="L10" s="20" t="s">
        <v>292</v>
      </c>
      <c r="M10" s="24">
        <v>0.11470000000000001</v>
      </c>
      <c r="N10" s="34"/>
      <c r="O10" s="21" t="s">
        <v>292</v>
      </c>
      <c r="P10" s="20" t="s">
        <v>292</v>
      </c>
      <c r="Q10" s="20" t="s">
        <v>292</v>
      </c>
      <c r="R10" s="20" t="s">
        <v>292</v>
      </c>
      <c r="S10" s="20" t="s">
        <v>292</v>
      </c>
      <c r="T10" s="20" t="s">
        <v>292</v>
      </c>
      <c r="U10" s="20" t="s">
        <v>292</v>
      </c>
      <c r="V10" s="34"/>
      <c r="W10" s="20" t="s">
        <v>292</v>
      </c>
      <c r="X10" s="20" t="s">
        <v>292</v>
      </c>
      <c r="Y10" s="20" t="s">
        <v>292</v>
      </c>
      <c r="Z10" s="20" t="s">
        <v>292</v>
      </c>
      <c r="AA10" s="20" t="s">
        <v>292</v>
      </c>
    </row>
    <row r="11" spans="1:27" ht="7.5" customHeight="1" x14ac:dyDescent="0.25">
      <c r="A11" s="22"/>
      <c r="B11" s="22"/>
      <c r="C11" s="22"/>
      <c r="D11" s="22"/>
      <c r="E11" s="22"/>
      <c r="F11" s="22"/>
      <c r="G11" s="22"/>
      <c r="H11" s="22"/>
      <c r="I11" s="22"/>
      <c r="J11" s="22"/>
      <c r="K11" s="22"/>
      <c r="L11" s="22"/>
      <c r="M11" s="22"/>
      <c r="N11" s="34"/>
      <c r="O11" s="22"/>
      <c r="P11" s="22"/>
      <c r="Q11" s="22"/>
      <c r="R11" s="22"/>
      <c r="S11" s="22"/>
      <c r="T11" s="22"/>
      <c r="U11" s="22"/>
      <c r="V11" s="34"/>
      <c r="W11" s="22"/>
      <c r="X11" s="22"/>
      <c r="Y11" s="22"/>
      <c r="Z11" s="22"/>
      <c r="AA11" s="22"/>
    </row>
    <row r="12" spans="1:27" ht="25.5" x14ac:dyDescent="0.25">
      <c r="A12" s="19" t="s">
        <v>259</v>
      </c>
      <c r="B12" s="38">
        <v>22</v>
      </c>
      <c r="C12" s="40">
        <v>45433</v>
      </c>
      <c r="D12" s="24">
        <v>-3.0299999999999997E-2</v>
      </c>
      <c r="E12" s="24">
        <v>-4.1700000000000001E-2</v>
      </c>
      <c r="F12" s="24">
        <v>-1.46E-2</v>
      </c>
      <c r="G12" s="24">
        <v>6.5799999999999997E-2</v>
      </c>
      <c r="H12" s="24" t="s">
        <v>292</v>
      </c>
      <c r="I12" s="24" t="s">
        <v>292</v>
      </c>
      <c r="J12" s="20" t="s">
        <v>292</v>
      </c>
      <c r="K12" s="20" t="s">
        <v>292</v>
      </c>
      <c r="L12" s="20" t="s">
        <v>292</v>
      </c>
      <c r="M12" s="20">
        <v>6.83E-2</v>
      </c>
      <c r="N12" s="34"/>
      <c r="O12" s="21" t="s">
        <v>292</v>
      </c>
      <c r="P12" s="20" t="s">
        <v>292</v>
      </c>
      <c r="Q12" s="20" t="s">
        <v>292</v>
      </c>
      <c r="R12" s="20" t="s">
        <v>292</v>
      </c>
      <c r="S12" s="20" t="s">
        <v>292</v>
      </c>
      <c r="T12" s="20" t="s">
        <v>292</v>
      </c>
      <c r="U12" s="20" t="s">
        <v>292</v>
      </c>
      <c r="V12" s="34"/>
      <c r="W12" s="20" t="s">
        <v>292</v>
      </c>
      <c r="X12" s="20" t="s">
        <v>292</v>
      </c>
      <c r="Y12" s="20" t="s">
        <v>292</v>
      </c>
      <c r="Z12" s="20" t="s">
        <v>292</v>
      </c>
      <c r="AA12" s="20" t="s">
        <v>292</v>
      </c>
    </row>
    <row r="13" spans="1:27" x14ac:dyDescent="0.25">
      <c r="A13" s="19" t="s">
        <v>293</v>
      </c>
      <c r="B13" s="39"/>
      <c r="C13" s="41"/>
      <c r="D13" s="20">
        <v>-3.3399999999999999E-2</v>
      </c>
      <c r="E13" s="20">
        <v>-2.64E-2</v>
      </c>
      <c r="F13" s="20">
        <v>9.7999999999999997E-3</v>
      </c>
      <c r="G13" s="20">
        <v>7.7399999999999997E-2</v>
      </c>
      <c r="H13" s="20" t="s">
        <v>292</v>
      </c>
      <c r="I13" s="20" t="s">
        <v>292</v>
      </c>
      <c r="J13" s="20" t="s">
        <v>292</v>
      </c>
      <c r="K13" s="20" t="s">
        <v>292</v>
      </c>
      <c r="L13" s="20" t="s">
        <v>292</v>
      </c>
      <c r="M13" s="20">
        <v>5.9299999999999999E-2</v>
      </c>
      <c r="N13" s="34"/>
      <c r="O13" s="21" t="s">
        <v>292</v>
      </c>
      <c r="P13" s="20" t="s">
        <v>292</v>
      </c>
      <c r="Q13" s="20" t="s">
        <v>292</v>
      </c>
      <c r="R13" s="20" t="s">
        <v>292</v>
      </c>
      <c r="S13" s="20" t="s">
        <v>292</v>
      </c>
      <c r="T13" s="20" t="s">
        <v>292</v>
      </c>
      <c r="U13" s="20" t="s">
        <v>292</v>
      </c>
      <c r="V13" s="34"/>
      <c r="W13" s="20" t="s">
        <v>292</v>
      </c>
      <c r="X13" s="20" t="s">
        <v>292</v>
      </c>
      <c r="Y13" s="20" t="s">
        <v>292</v>
      </c>
      <c r="Z13" s="20" t="s">
        <v>292</v>
      </c>
      <c r="AA13" s="20" t="s">
        <v>292</v>
      </c>
    </row>
    <row r="14" spans="1:27" ht="7.5" customHeight="1" x14ac:dyDescent="0.25">
      <c r="A14" s="22"/>
      <c r="B14" s="22"/>
      <c r="C14" s="22"/>
      <c r="D14" s="22"/>
      <c r="E14" s="22"/>
      <c r="F14" s="22"/>
      <c r="G14" s="22"/>
      <c r="H14" s="22"/>
      <c r="I14" s="22"/>
      <c r="J14" s="22"/>
      <c r="K14" s="22"/>
      <c r="L14" s="22"/>
      <c r="M14" s="22"/>
      <c r="N14" s="34"/>
      <c r="O14" s="22"/>
      <c r="P14" s="22"/>
      <c r="Q14" s="22"/>
      <c r="R14" s="22"/>
      <c r="S14" s="22"/>
      <c r="T14" s="22"/>
      <c r="U14" s="22"/>
      <c r="V14" s="34"/>
      <c r="W14" s="22"/>
      <c r="X14" s="22"/>
      <c r="Y14" s="22"/>
      <c r="Z14" s="22"/>
      <c r="AA14" s="22"/>
    </row>
    <row r="15" spans="1:27" ht="25.5" x14ac:dyDescent="0.25">
      <c r="A15" s="19" t="s">
        <v>260</v>
      </c>
      <c r="B15" s="38">
        <v>58</v>
      </c>
      <c r="C15" s="40">
        <v>43370</v>
      </c>
      <c r="D15" s="20">
        <v>-4.2900000000000001E-2</v>
      </c>
      <c r="E15" s="20">
        <v>-6.54E-2</v>
      </c>
      <c r="F15" s="20">
        <v>-7.7800000000000008E-2</v>
      </c>
      <c r="G15" s="20">
        <v>-1.7299999999999999E-2</v>
      </c>
      <c r="H15" s="20">
        <v>7.5300000000000006E-2</v>
      </c>
      <c r="I15" s="20">
        <v>0.13789999999999999</v>
      </c>
      <c r="J15" s="20">
        <v>9.2300000000000007E-2</v>
      </c>
      <c r="K15" s="20">
        <v>0.1265</v>
      </c>
      <c r="L15" s="20">
        <v>0.13730000000000001</v>
      </c>
      <c r="M15" s="20">
        <v>0.1139</v>
      </c>
      <c r="N15" s="34"/>
      <c r="O15" s="21">
        <v>0.11135426494740908</v>
      </c>
      <c r="P15" s="20">
        <v>0.26647217887897989</v>
      </c>
      <c r="Q15" s="20">
        <v>0.25583962870924171</v>
      </c>
      <c r="R15" s="20">
        <v>-4.313004003921761E-2</v>
      </c>
      <c r="S15" s="20">
        <v>0.2399728831068213</v>
      </c>
      <c r="T15" s="20">
        <v>0.27596988751033558</v>
      </c>
      <c r="U15" s="20">
        <v>-5.1334776835302853E-2</v>
      </c>
      <c r="V15" s="34"/>
      <c r="W15" s="20">
        <v>0.5757748132479632</v>
      </c>
      <c r="X15" s="20">
        <v>0.19615088873306763</v>
      </c>
      <c r="Y15" s="20">
        <v>-3.7799298606865928E-2</v>
      </c>
      <c r="Z15" s="20">
        <v>0.30673279351143723</v>
      </c>
      <c r="AA15" s="20">
        <v>-4.0442733513722851E-2</v>
      </c>
    </row>
    <row r="16" spans="1:27" x14ac:dyDescent="0.25">
      <c r="A16" s="19" t="s">
        <v>293</v>
      </c>
      <c r="B16" s="39"/>
      <c r="C16" s="41"/>
      <c r="D16" s="20">
        <v>-3.3399999999999999E-2</v>
      </c>
      <c r="E16" s="20">
        <v>-2.64E-2</v>
      </c>
      <c r="F16" s="20">
        <v>9.7999999999999997E-3</v>
      </c>
      <c r="G16" s="20">
        <v>7.7399999999999997E-2</v>
      </c>
      <c r="H16" s="20">
        <v>8.72E-2</v>
      </c>
      <c r="I16" s="20">
        <v>0.16399999999999998</v>
      </c>
      <c r="J16" s="20">
        <v>0.12529999999999999</v>
      </c>
      <c r="K16" s="20">
        <v>0.16440000000000002</v>
      </c>
      <c r="L16" s="20">
        <v>0.15609999999999999</v>
      </c>
      <c r="M16" s="20">
        <v>0.13140000000000002</v>
      </c>
      <c r="N16" s="34"/>
      <c r="O16" s="21">
        <v>8.9821551444109415E-2</v>
      </c>
      <c r="P16" s="20">
        <v>0.18410481907502918</v>
      </c>
      <c r="Q16" s="20">
        <v>0.31631814829266958</v>
      </c>
      <c r="R16" s="20">
        <v>4.7651653479407585E-2</v>
      </c>
      <c r="S16" s="20">
        <v>0.26546394619062919</v>
      </c>
      <c r="T16" s="20">
        <v>0.15809837093622625</v>
      </c>
      <c r="U16" s="20">
        <v>7.6319802102742917E-2</v>
      </c>
      <c r="V16" s="34"/>
      <c r="W16" s="20">
        <v>0.78626469683441247</v>
      </c>
      <c r="X16" s="20">
        <v>0.22259480484567429</v>
      </c>
      <c r="Y16" s="20">
        <v>-9.1197471867551227E-3</v>
      </c>
      <c r="Z16" s="20">
        <v>0.40163893784567128</v>
      </c>
      <c r="AA16" s="20">
        <v>8.8137873777362374E-2</v>
      </c>
    </row>
    <row r="17" spans="1:13" x14ac:dyDescent="0.25">
      <c r="A17" s="15" t="s">
        <v>294</v>
      </c>
    </row>
    <row r="18" spans="1:13" ht="12.75" customHeight="1" x14ac:dyDescent="0.25">
      <c r="A18" s="42" t="s">
        <v>369</v>
      </c>
      <c r="B18" s="42"/>
      <c r="C18" s="42"/>
      <c r="D18" s="42"/>
      <c r="E18" s="42"/>
      <c r="F18" s="42"/>
      <c r="G18" s="42"/>
      <c r="H18" s="42"/>
      <c r="I18" s="42"/>
      <c r="J18" s="42"/>
      <c r="K18" s="42"/>
      <c r="L18" s="42"/>
      <c r="M18" s="42"/>
    </row>
    <row r="19" spans="1:13" x14ac:dyDescent="0.25">
      <c r="A19" s="42"/>
      <c r="B19" s="42"/>
      <c r="C19" s="42"/>
      <c r="D19" s="42"/>
      <c r="E19" s="42"/>
      <c r="F19" s="42"/>
      <c r="G19" s="42"/>
      <c r="H19" s="42"/>
      <c r="I19" s="42"/>
      <c r="J19" s="42"/>
      <c r="K19" s="42"/>
      <c r="L19" s="42"/>
      <c r="M19" s="42"/>
    </row>
    <row r="20" spans="1:13" x14ac:dyDescent="0.25">
      <c r="A20" s="42"/>
      <c r="B20" s="42"/>
      <c r="C20" s="42"/>
      <c r="D20" s="42"/>
      <c r="E20" s="42"/>
      <c r="F20" s="42"/>
      <c r="G20" s="42"/>
      <c r="H20" s="42"/>
      <c r="I20" s="42"/>
      <c r="J20" s="42"/>
      <c r="K20" s="42"/>
      <c r="L20" s="42"/>
      <c r="M20" s="42"/>
    </row>
    <row r="21" spans="1:13" x14ac:dyDescent="0.25">
      <c r="A21" s="42"/>
      <c r="B21" s="42"/>
      <c r="C21" s="42"/>
      <c r="D21" s="42"/>
      <c r="E21" s="42"/>
      <c r="F21" s="42"/>
      <c r="G21" s="42"/>
      <c r="H21" s="42"/>
      <c r="I21" s="42"/>
      <c r="J21" s="42"/>
      <c r="K21" s="42"/>
      <c r="L21" s="42"/>
      <c r="M21" s="42"/>
    </row>
    <row r="22" spans="1:13" x14ac:dyDescent="0.25">
      <c r="A22" s="42"/>
      <c r="B22" s="42"/>
      <c r="C22" s="42"/>
      <c r="D22" s="42"/>
      <c r="E22" s="42"/>
      <c r="F22" s="42"/>
      <c r="G22" s="42"/>
      <c r="H22" s="42"/>
      <c r="I22" s="42"/>
      <c r="J22" s="42"/>
      <c r="K22" s="42"/>
      <c r="L22" s="42"/>
      <c r="M22" s="42"/>
    </row>
    <row r="23" spans="1:13" x14ac:dyDescent="0.25">
      <c r="A23" s="42"/>
      <c r="B23" s="42"/>
      <c r="C23" s="42"/>
      <c r="D23" s="42"/>
      <c r="E23" s="42"/>
      <c r="F23" s="42"/>
      <c r="G23" s="42"/>
      <c r="H23" s="42"/>
      <c r="I23" s="42"/>
      <c r="J23" s="42"/>
      <c r="K23" s="42"/>
      <c r="L23" s="42"/>
      <c r="M23" s="42"/>
    </row>
    <row r="24" spans="1:13" x14ac:dyDescent="0.25">
      <c r="A24" s="42"/>
      <c r="B24" s="42"/>
      <c r="C24" s="42"/>
      <c r="D24" s="42"/>
      <c r="E24" s="42"/>
      <c r="F24" s="42"/>
      <c r="G24" s="42"/>
      <c r="H24" s="42"/>
      <c r="I24" s="42"/>
      <c r="J24" s="42"/>
      <c r="K24" s="42"/>
      <c r="L24" s="42"/>
      <c r="M24" s="42"/>
    </row>
    <row r="25" spans="1:13" x14ac:dyDescent="0.25">
      <c r="A25" s="33"/>
      <c r="B25" s="33"/>
      <c r="C25" s="33"/>
      <c r="D25" s="33"/>
      <c r="E25" s="33"/>
      <c r="F25" s="33"/>
      <c r="G25" s="33"/>
      <c r="H25" s="33"/>
      <c r="I25" s="33"/>
      <c r="J25" s="33"/>
      <c r="K25" s="33"/>
      <c r="L25" s="33"/>
      <c r="M25" s="33"/>
    </row>
  </sheetData>
  <mergeCells count="16">
    <mergeCell ref="A18:M24"/>
    <mergeCell ref="W1:AA1"/>
    <mergeCell ref="B3:B4"/>
    <mergeCell ref="C3:C4"/>
    <mergeCell ref="B6:B7"/>
    <mergeCell ref="C6:C7"/>
    <mergeCell ref="D1:M1"/>
    <mergeCell ref="N1:N16"/>
    <mergeCell ref="O1:U1"/>
    <mergeCell ref="V1:V16"/>
    <mergeCell ref="B9:B10"/>
    <mergeCell ref="C9:C10"/>
    <mergeCell ref="B12:B13"/>
    <mergeCell ref="C12:C13"/>
    <mergeCell ref="B15:B16"/>
    <mergeCell ref="C15: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1DF3-C2CD-497B-BDC1-AC2CAB84303F}">
  <dimension ref="A1:AG92"/>
  <sheetViews>
    <sheetView workbookViewId="0">
      <pane ySplit="2" topLeftCell="A3" activePane="bottomLeft" state="frozen"/>
      <selection activeCell="A3" sqref="A3"/>
      <selection pane="bottomLeft" sqref="A1:G1"/>
    </sheetView>
  </sheetViews>
  <sheetFormatPr defaultRowHeight="13.5" x14ac:dyDescent="0.25"/>
  <cols>
    <col min="1" max="1" width="9.85546875" style="1" bestFit="1" customWidth="1"/>
    <col min="2" max="2" width="10.28515625" style="1" bestFit="1" customWidth="1"/>
    <col min="3" max="3" width="9.28515625" style="1" bestFit="1" customWidth="1"/>
    <col min="4" max="4" width="10.28515625" style="1" bestFit="1" customWidth="1"/>
    <col min="5" max="5" width="9.28515625" style="1" bestFit="1" customWidth="1"/>
    <col min="6" max="6" width="10.28515625" style="1" bestFit="1" customWidth="1"/>
    <col min="7" max="7" width="9.28515625" style="1" bestFit="1" customWidth="1"/>
    <col min="8" max="8" width="4.5703125" style="1" customWidth="1"/>
    <col min="9" max="9" width="9.85546875" style="1" bestFit="1" customWidth="1"/>
    <col min="10" max="10" width="10.28515625" style="1" bestFit="1" customWidth="1"/>
    <col min="11" max="11" width="9.28515625" style="1" bestFit="1" customWidth="1"/>
    <col min="12" max="12" width="10.28515625" style="1" bestFit="1" customWidth="1"/>
    <col min="13" max="13" width="9.28515625" style="1" bestFit="1" customWidth="1"/>
    <col min="14" max="14" width="10.28515625" style="1" bestFit="1" customWidth="1"/>
    <col min="15" max="15" width="9.28515625" style="1" bestFit="1" customWidth="1"/>
    <col min="16" max="16" width="4.5703125" style="1" customWidth="1"/>
    <col min="17" max="17" width="9.85546875" style="1" bestFit="1" customWidth="1"/>
    <col min="18" max="18" width="10.28515625" style="1" bestFit="1" customWidth="1"/>
    <col min="19" max="19" width="9.28515625" style="1" bestFit="1" customWidth="1"/>
    <col min="20" max="20" width="10.28515625" style="1" bestFit="1" customWidth="1"/>
    <col min="21" max="21" width="9.28515625" style="1" bestFit="1" customWidth="1"/>
    <col min="22" max="22" width="4.5703125" style="1" customWidth="1"/>
    <col min="23" max="23" width="9.85546875" style="1" bestFit="1" customWidth="1"/>
    <col min="24" max="24" width="10.28515625" style="1" bestFit="1" customWidth="1"/>
    <col min="25" max="25" width="9.28515625" style="1" bestFit="1" customWidth="1"/>
    <col min="26" max="26" width="10.28515625" style="1" bestFit="1" customWidth="1"/>
    <col min="27" max="27" width="9.28515625" style="1" bestFit="1" customWidth="1"/>
    <col min="28" max="28" width="4.5703125" style="1" customWidth="1"/>
    <col min="29" max="29" width="9.85546875" style="1" customWidth="1"/>
    <col min="30" max="30" width="10.28515625" style="1" customWidth="1"/>
    <col min="31" max="31" width="9.28515625" style="1" customWidth="1"/>
    <col min="32" max="32" width="10.28515625" style="1" customWidth="1"/>
    <col min="33" max="33" width="9.28515625" style="1" customWidth="1"/>
    <col min="34" max="16384" width="9.140625" style="1"/>
  </cols>
  <sheetData>
    <row r="1" spans="1:33" ht="15.75" x14ac:dyDescent="0.25">
      <c r="A1" s="45" t="s">
        <v>295</v>
      </c>
      <c r="B1" s="45"/>
      <c r="C1" s="45"/>
      <c r="D1" s="45"/>
      <c r="E1" s="45"/>
      <c r="F1" s="45"/>
      <c r="G1" s="45"/>
      <c r="I1" s="45" t="s">
        <v>296</v>
      </c>
      <c r="J1" s="45"/>
      <c r="K1" s="45"/>
      <c r="L1" s="45"/>
      <c r="M1" s="45"/>
      <c r="N1" s="45"/>
      <c r="O1" s="45"/>
      <c r="Q1" s="45" t="s">
        <v>297</v>
      </c>
      <c r="R1" s="46"/>
      <c r="S1" s="46"/>
      <c r="T1" s="46"/>
      <c r="U1" s="46"/>
      <c r="W1" s="45" t="s">
        <v>298</v>
      </c>
      <c r="X1" s="46"/>
      <c r="Y1" s="46"/>
      <c r="Z1" s="46"/>
      <c r="AA1" s="46"/>
      <c r="AC1" s="45" t="s">
        <v>299</v>
      </c>
      <c r="AD1" s="46"/>
      <c r="AE1" s="46"/>
      <c r="AF1" s="46"/>
      <c r="AG1" s="46"/>
    </row>
    <row r="2" spans="1:33" ht="25.5" x14ac:dyDescent="0.25">
      <c r="A2" s="2" t="s">
        <v>1</v>
      </c>
      <c r="B2" s="2" t="s">
        <v>264</v>
      </c>
      <c r="C2" s="2" t="s">
        <v>300</v>
      </c>
      <c r="D2" s="2" t="s">
        <v>301</v>
      </c>
      <c r="E2" s="2" t="s">
        <v>300</v>
      </c>
      <c r="F2" s="2" t="s">
        <v>302</v>
      </c>
      <c r="G2" s="2" t="s">
        <v>300</v>
      </c>
      <c r="I2" s="2" t="s">
        <v>1</v>
      </c>
      <c r="J2" s="2" t="s">
        <v>264</v>
      </c>
      <c r="K2" s="2" t="s">
        <v>300</v>
      </c>
      <c r="L2" s="2" t="s">
        <v>301</v>
      </c>
      <c r="M2" s="2" t="s">
        <v>300</v>
      </c>
      <c r="N2" s="2" t="s">
        <v>303</v>
      </c>
      <c r="O2" s="2" t="s">
        <v>300</v>
      </c>
      <c r="Q2" s="2" t="s">
        <v>1</v>
      </c>
      <c r="R2" s="2" t="s">
        <v>264</v>
      </c>
      <c r="S2" s="2" t="s">
        <v>300</v>
      </c>
      <c r="T2" s="2" t="s">
        <v>304</v>
      </c>
      <c r="U2" s="2" t="s">
        <v>300</v>
      </c>
      <c r="W2" s="2" t="s">
        <v>1</v>
      </c>
      <c r="X2" s="2" t="s">
        <v>264</v>
      </c>
      <c r="Y2" s="2" t="s">
        <v>300</v>
      </c>
      <c r="Z2" s="2" t="s">
        <v>301</v>
      </c>
      <c r="AA2" s="2" t="s">
        <v>300</v>
      </c>
      <c r="AC2" s="2" t="s">
        <v>1</v>
      </c>
      <c r="AD2" s="2" t="s">
        <v>264</v>
      </c>
      <c r="AE2" s="2" t="s">
        <v>300</v>
      </c>
      <c r="AF2" s="2" t="s">
        <v>304</v>
      </c>
      <c r="AG2" s="2" t="s">
        <v>300</v>
      </c>
    </row>
    <row r="3" spans="1:33" x14ac:dyDescent="0.25">
      <c r="A3" s="25">
        <v>44217</v>
      </c>
      <c r="B3" s="26">
        <v>100</v>
      </c>
      <c r="C3" s="26"/>
      <c r="D3" s="27">
        <v>23141.7</v>
      </c>
      <c r="E3" s="26"/>
      <c r="F3" s="27">
        <v>7381.16</v>
      </c>
      <c r="G3" s="28"/>
      <c r="I3" s="25">
        <v>44566</v>
      </c>
      <c r="J3" s="26">
        <v>100</v>
      </c>
      <c r="K3" s="26"/>
      <c r="L3" s="27">
        <v>29951.99</v>
      </c>
      <c r="M3" s="26"/>
      <c r="N3" s="27">
        <v>9023.32</v>
      </c>
      <c r="O3" s="28"/>
      <c r="Q3" s="25">
        <v>43370</v>
      </c>
      <c r="R3" s="26">
        <v>100</v>
      </c>
      <c r="S3" s="26"/>
      <c r="T3" s="27">
        <v>17198.79</v>
      </c>
      <c r="U3" s="26"/>
      <c r="W3" s="25">
        <v>45433</v>
      </c>
      <c r="X3" s="26">
        <v>100</v>
      </c>
      <c r="Y3" s="26"/>
      <c r="Z3" s="27">
        <v>41813.89</v>
      </c>
      <c r="AA3" s="26"/>
      <c r="AC3" s="25">
        <v>43343</v>
      </c>
      <c r="AD3" s="26">
        <v>100</v>
      </c>
      <c r="AE3" s="26"/>
      <c r="AF3" s="27">
        <v>18665.66</v>
      </c>
      <c r="AG3" s="26"/>
    </row>
    <row r="4" spans="1:33" x14ac:dyDescent="0.25">
      <c r="A4" s="25">
        <v>44227</v>
      </c>
      <c r="B4" s="26">
        <v>96.191900000000004</v>
      </c>
      <c r="C4" s="28">
        <f>B4/B3-1</f>
        <v>-3.808099999999992E-2</v>
      </c>
      <c r="D4" s="27">
        <v>21780.03</v>
      </c>
      <c r="E4" s="28">
        <f>D4/D3-1</f>
        <v>-5.8840534619323592E-2</v>
      </c>
      <c r="F4" s="27">
        <v>7027.41</v>
      </c>
      <c r="G4" s="28">
        <f>F4/F3-1</f>
        <v>-4.7926071240834811E-2</v>
      </c>
      <c r="I4" s="25">
        <v>44592</v>
      </c>
      <c r="J4" s="26">
        <v>91.067700000000002</v>
      </c>
      <c r="K4" s="28">
        <f t="shared" ref="K4:M19" si="0">J4/J3-1</f>
        <v>-8.932299999999993E-2</v>
      </c>
      <c r="L4" s="27">
        <v>29069.01</v>
      </c>
      <c r="M4" s="28">
        <f t="shared" si="0"/>
        <v>-2.9479844244072018E-2</v>
      </c>
      <c r="N4" s="27">
        <v>8092.31</v>
      </c>
      <c r="O4" s="28">
        <f t="shared" ref="O4:O41" si="1">N4/N3-1</f>
        <v>-0.10317820935088184</v>
      </c>
      <c r="Q4" s="25">
        <v>43373</v>
      </c>
      <c r="R4" s="26">
        <v>99.111599999999996</v>
      </c>
      <c r="S4" s="28">
        <f t="shared" ref="S4:S67" si="2">R4/R3-1</f>
        <v>-8.884000000000003E-3</v>
      </c>
      <c r="T4" s="27">
        <v>17027.939999999999</v>
      </c>
      <c r="U4" s="28">
        <f t="shared" ref="U4:U38" si="3">T4/T3-1</f>
        <v>-9.9338383688620802E-3</v>
      </c>
      <c r="W4" s="25">
        <v>45443</v>
      </c>
      <c r="X4" s="26">
        <v>99.295000000000002</v>
      </c>
      <c r="Y4" s="28">
        <f t="shared" ref="Y4:Y14" si="4">X4/X3-1</f>
        <v>-7.0500000000000007E-3</v>
      </c>
      <c r="Z4" s="27">
        <v>42163.02</v>
      </c>
      <c r="AA4" s="28">
        <f t="shared" ref="AA4:AA14" si="5">Z4/Z3-1</f>
        <v>8.3496177944697436E-3</v>
      </c>
      <c r="AC4" s="25">
        <v>43373</v>
      </c>
      <c r="AD4" s="26">
        <v>87.9191</v>
      </c>
      <c r="AE4" s="28">
        <f>AD4/AD3-1</f>
        <v>-0.12080899999999994</v>
      </c>
      <c r="AF4" s="27">
        <v>17027.939999999999</v>
      </c>
      <c r="AG4" s="28">
        <f t="shared" ref="AG4:AG38" si="6">AF4/AF3-1</f>
        <v>-8.7739731678387001E-2</v>
      </c>
    </row>
    <row r="5" spans="1:33" x14ac:dyDescent="0.25">
      <c r="A5" s="25">
        <v>44255</v>
      </c>
      <c r="B5" s="26">
        <v>100.23990000000001</v>
      </c>
      <c r="C5" s="28">
        <f t="shared" ref="C5:C55" si="7">B5/B4-1</f>
        <v>4.2082545411827876E-2</v>
      </c>
      <c r="D5" s="27">
        <v>23507.93</v>
      </c>
      <c r="E5" s="28">
        <f t="shared" ref="E5:E55" si="8">D5/D4-1</f>
        <v>7.9334142331300761E-2</v>
      </c>
      <c r="F5" s="27">
        <v>7554.67</v>
      </c>
      <c r="G5" s="28">
        <f t="shared" ref="G5:G54" si="9">F5/F4-1</f>
        <v>7.5029064762124342E-2</v>
      </c>
      <c r="I5" s="25">
        <v>44620</v>
      </c>
      <c r="J5" s="26">
        <v>85.053399999999996</v>
      </c>
      <c r="K5" s="28">
        <f t="shared" si="0"/>
        <v>-6.6042076389323578E-2</v>
      </c>
      <c r="L5" s="27">
        <v>27923.279999999999</v>
      </c>
      <c r="M5" s="28">
        <f t="shared" si="0"/>
        <v>-3.9414138974805168E-2</v>
      </c>
      <c r="N5" s="27">
        <v>7648.24</v>
      </c>
      <c r="O5" s="28">
        <f t="shared" si="1"/>
        <v>-5.487555469328298E-2</v>
      </c>
      <c r="Q5" s="25">
        <v>43404</v>
      </c>
      <c r="R5" s="26">
        <v>98.2042</v>
      </c>
      <c r="S5" s="28">
        <f t="shared" si="2"/>
        <v>-9.1553360050690147E-3</v>
      </c>
      <c r="T5" s="27">
        <v>16376.85</v>
      </c>
      <c r="U5" s="28">
        <f t="shared" si="3"/>
        <v>-3.8236568839213558E-2</v>
      </c>
      <c r="W5" s="25">
        <v>45473</v>
      </c>
      <c r="X5" s="26">
        <v>106.2842</v>
      </c>
      <c r="Y5" s="28">
        <f t="shared" si="4"/>
        <v>7.038823707135311E-2</v>
      </c>
      <c r="Z5" s="27">
        <v>45136.916599999997</v>
      </c>
      <c r="AA5" s="28">
        <f t="shared" si="5"/>
        <v>7.0533291970072298E-2</v>
      </c>
      <c r="AC5" s="25">
        <v>43404</v>
      </c>
      <c r="AD5" s="26">
        <v>87.789299999999997</v>
      </c>
      <c r="AE5" s="28">
        <f t="shared" ref="AE5:AE68" si="10">AD5/AD4-1</f>
        <v>-1.476357242055526E-3</v>
      </c>
      <c r="AF5" s="27">
        <v>16376.85</v>
      </c>
      <c r="AG5" s="28">
        <f t="shared" si="6"/>
        <v>-3.8236568839213558E-2</v>
      </c>
    </row>
    <row r="6" spans="1:33" x14ac:dyDescent="0.25">
      <c r="A6" s="25">
        <v>44286</v>
      </c>
      <c r="B6" s="26">
        <v>103.0675</v>
      </c>
      <c r="C6" s="28">
        <f t="shared" si="7"/>
        <v>2.8208328220598711E-2</v>
      </c>
      <c r="D6" s="27">
        <v>23806.799999999999</v>
      </c>
      <c r="E6" s="28">
        <f t="shared" si="8"/>
        <v>1.2713582182693139E-2</v>
      </c>
      <c r="F6" s="27">
        <v>7652.31</v>
      </c>
      <c r="G6" s="28">
        <f t="shared" si="9"/>
        <v>1.2924455998739814E-2</v>
      </c>
      <c r="I6" s="25">
        <v>44651</v>
      </c>
      <c r="J6" s="26">
        <v>89.544499999999999</v>
      </c>
      <c r="K6" s="28">
        <f t="shared" si="0"/>
        <v>5.2803297692978868E-2</v>
      </c>
      <c r="L6" s="27">
        <v>29106.07</v>
      </c>
      <c r="M6" s="28">
        <f t="shared" si="0"/>
        <v>4.2358562461143556E-2</v>
      </c>
      <c r="N6" s="27">
        <v>7956.7</v>
      </c>
      <c r="O6" s="28">
        <f t="shared" si="1"/>
        <v>4.0330847358346578E-2</v>
      </c>
      <c r="Q6" s="25">
        <v>43434</v>
      </c>
      <c r="R6" s="26">
        <v>101.5184</v>
      </c>
      <c r="S6" s="28">
        <f t="shared" si="2"/>
        <v>3.3748047435853135E-2</v>
      </c>
      <c r="T6" s="27">
        <v>17039.32</v>
      </c>
      <c r="U6" s="28">
        <f t="shared" si="3"/>
        <v>4.0451613100199291E-2</v>
      </c>
      <c r="W6" s="25">
        <v>45504</v>
      </c>
      <c r="X6" s="26">
        <v>110.3484</v>
      </c>
      <c r="Y6" s="28">
        <f t="shared" si="4"/>
        <v>3.8238985662967684E-2</v>
      </c>
      <c r="Z6" s="27">
        <v>47142.929100000001</v>
      </c>
      <c r="AA6" s="28">
        <f t="shared" si="5"/>
        <v>4.4442834183316959E-2</v>
      </c>
      <c r="AC6" s="25">
        <v>43434</v>
      </c>
      <c r="AD6" s="26">
        <v>88.800899999999999</v>
      </c>
      <c r="AE6" s="28">
        <f t="shared" si="10"/>
        <v>1.1523044380123748E-2</v>
      </c>
      <c r="AF6" s="27">
        <v>17039.32</v>
      </c>
      <c r="AG6" s="28">
        <f t="shared" si="6"/>
        <v>4.0451613100199291E-2</v>
      </c>
    </row>
    <row r="7" spans="1:33" x14ac:dyDescent="0.25">
      <c r="A7" s="25">
        <v>44316</v>
      </c>
      <c r="B7" s="26">
        <v>103.9409</v>
      </c>
      <c r="C7" s="28">
        <f t="shared" si="7"/>
        <v>8.4740582627889083E-3</v>
      </c>
      <c r="D7" s="27">
        <v>23919.82</v>
      </c>
      <c r="E7" s="28">
        <f t="shared" si="8"/>
        <v>4.7473831006268341E-3</v>
      </c>
      <c r="F7" s="27">
        <v>7665.04</v>
      </c>
      <c r="G7" s="28">
        <f t="shared" si="9"/>
        <v>1.6635499607307036E-3</v>
      </c>
      <c r="I7" s="25">
        <v>44681</v>
      </c>
      <c r="J7" s="26">
        <v>85.792500000000004</v>
      </c>
      <c r="K7" s="28">
        <f t="shared" si="0"/>
        <v>-4.1900954274131763E-2</v>
      </c>
      <c r="L7" s="27">
        <v>28940.52</v>
      </c>
      <c r="M7" s="28">
        <f t="shared" si="0"/>
        <v>-5.6878170086170909E-3</v>
      </c>
      <c r="N7" s="27">
        <v>7412.9</v>
      </c>
      <c r="O7" s="28">
        <f t="shared" si="1"/>
        <v>-6.8344916862518423E-2</v>
      </c>
      <c r="Q7" s="25">
        <v>43465</v>
      </c>
      <c r="R7" s="26">
        <v>104.33710000000001</v>
      </c>
      <c r="S7" s="28">
        <f t="shared" si="2"/>
        <v>2.7765410014342295E-2</v>
      </c>
      <c r="T7" s="27">
        <v>17178.060000000001</v>
      </c>
      <c r="U7" s="28">
        <f t="shared" si="3"/>
        <v>8.1423437085519357E-3</v>
      </c>
      <c r="W7" s="25">
        <v>45535</v>
      </c>
      <c r="X7" s="26">
        <v>112.2774</v>
      </c>
      <c r="Y7" s="28">
        <f t="shared" si="4"/>
        <v>1.7480996552736716E-2</v>
      </c>
      <c r="Z7" s="27">
        <v>47595.045899999997</v>
      </c>
      <c r="AA7" s="28">
        <f t="shared" si="5"/>
        <v>9.5903417252873879E-3</v>
      </c>
      <c r="AC7" s="25">
        <v>43465</v>
      </c>
      <c r="AD7" s="26">
        <v>91.574399999999997</v>
      </c>
      <c r="AE7" s="28">
        <f t="shared" si="10"/>
        <v>3.1232791559544948E-2</v>
      </c>
      <c r="AF7" s="27">
        <v>17178.060000000001</v>
      </c>
      <c r="AG7" s="28">
        <f t="shared" si="6"/>
        <v>8.1423437085519357E-3</v>
      </c>
    </row>
    <row r="8" spans="1:33" x14ac:dyDescent="0.25">
      <c r="A8" s="25">
        <v>44347</v>
      </c>
      <c r="B8" s="26">
        <v>109.75700000000001</v>
      </c>
      <c r="C8" s="28">
        <f t="shared" si="7"/>
        <v>5.5955836441670348E-2</v>
      </c>
      <c r="D8" s="27">
        <v>25611.58</v>
      </c>
      <c r="E8" s="28">
        <f t="shared" si="8"/>
        <v>7.0726284729567546E-2</v>
      </c>
      <c r="F8" s="27">
        <v>8197.18</v>
      </c>
      <c r="G8" s="28">
        <f t="shared" si="9"/>
        <v>6.9424295241773182E-2</v>
      </c>
      <c r="I8" s="25">
        <v>44712</v>
      </c>
      <c r="J8" s="26">
        <v>79.421099999999996</v>
      </c>
      <c r="K8" s="28">
        <f t="shared" si="0"/>
        <v>-7.42652329749105E-2</v>
      </c>
      <c r="L8" s="27">
        <v>27737.17</v>
      </c>
      <c r="M8" s="28">
        <f t="shared" si="0"/>
        <v>-4.1580109825255507E-2</v>
      </c>
      <c r="N8" s="27">
        <v>6970.11</v>
      </c>
      <c r="O8" s="28">
        <f t="shared" si="1"/>
        <v>-5.9732358456204726E-2</v>
      </c>
      <c r="Q8" s="25">
        <v>43496</v>
      </c>
      <c r="R8" s="26">
        <v>103.337</v>
      </c>
      <c r="S8" s="28">
        <f t="shared" si="2"/>
        <v>-9.5852769532601689E-3</v>
      </c>
      <c r="T8" s="27">
        <v>16878.86</v>
      </c>
      <c r="U8" s="28">
        <f t="shared" si="3"/>
        <v>-1.7417566360811487E-2</v>
      </c>
      <c r="W8" s="25">
        <v>45565</v>
      </c>
      <c r="X8" s="26">
        <v>115.20480000000001</v>
      </c>
      <c r="Y8" s="28">
        <f t="shared" si="4"/>
        <v>2.6072922956890787E-2</v>
      </c>
      <c r="Z8" s="27">
        <v>48588.661399999997</v>
      </c>
      <c r="AA8" s="28">
        <f t="shared" si="5"/>
        <v>2.0876447983423363E-2</v>
      </c>
      <c r="AC8" s="25">
        <v>43496</v>
      </c>
      <c r="AD8" s="26">
        <v>90.412199999999999</v>
      </c>
      <c r="AE8" s="28">
        <f t="shared" si="10"/>
        <v>-1.2691319844847504E-2</v>
      </c>
      <c r="AF8" s="27">
        <v>16878.86</v>
      </c>
      <c r="AG8" s="28">
        <f t="shared" si="6"/>
        <v>-1.7417566360811487E-2</v>
      </c>
    </row>
    <row r="9" spans="1:33" x14ac:dyDescent="0.25">
      <c r="A9" s="25">
        <v>44377</v>
      </c>
      <c r="B9" s="26">
        <v>113.7619</v>
      </c>
      <c r="C9" s="28">
        <f t="shared" si="7"/>
        <v>3.64887888699581E-2</v>
      </c>
      <c r="D9" s="27">
        <v>26155.759999999998</v>
      </c>
      <c r="E9" s="28">
        <f t="shared" si="8"/>
        <v>2.1247420112308513E-2</v>
      </c>
      <c r="F9" s="27">
        <v>8331.0400000000009</v>
      </c>
      <c r="G9" s="28">
        <f t="shared" si="9"/>
        <v>1.6330006172854628E-2</v>
      </c>
      <c r="I9" s="25">
        <v>44742</v>
      </c>
      <c r="J9" s="26">
        <v>73.260400000000004</v>
      </c>
      <c r="K9" s="28">
        <f t="shared" si="0"/>
        <v>-7.7570066392935733E-2</v>
      </c>
      <c r="L9" s="27">
        <v>26328.98</v>
      </c>
      <c r="M9" s="28">
        <f t="shared" si="0"/>
        <v>-5.0769058270905054E-2</v>
      </c>
      <c r="N9" s="27">
        <v>6360.94</v>
      </c>
      <c r="O9" s="28">
        <f t="shared" si="1"/>
        <v>-8.7397472923669839E-2</v>
      </c>
      <c r="Q9" s="25">
        <v>43524</v>
      </c>
      <c r="R9" s="26">
        <v>103.4684</v>
      </c>
      <c r="S9" s="28">
        <f t="shared" si="2"/>
        <v>1.2715677830785754E-3</v>
      </c>
      <c r="T9" s="27">
        <v>16795.099999999999</v>
      </c>
      <c r="U9" s="28">
        <f t="shared" si="3"/>
        <v>-4.9624204478265765E-3</v>
      </c>
      <c r="W9" s="25">
        <v>45596</v>
      </c>
      <c r="X9" s="26">
        <v>108.842</v>
      </c>
      <c r="Y9" s="28">
        <f t="shared" si="4"/>
        <v>-5.5230337624821213E-2</v>
      </c>
      <c r="Z9" s="27">
        <v>45456.375999999997</v>
      </c>
      <c r="AA9" s="28">
        <f t="shared" si="5"/>
        <v>-6.4465356932018714E-2</v>
      </c>
      <c r="AC9" s="25">
        <v>43524</v>
      </c>
      <c r="AD9" s="26">
        <v>89.371200000000002</v>
      </c>
      <c r="AE9" s="28">
        <f t="shared" si="10"/>
        <v>-1.1513932854194442E-2</v>
      </c>
      <c r="AF9" s="27">
        <v>16795.099999999999</v>
      </c>
      <c r="AG9" s="28">
        <f t="shared" si="6"/>
        <v>-4.9624204478265765E-3</v>
      </c>
    </row>
    <row r="10" spans="1:33" x14ac:dyDescent="0.25">
      <c r="A10" s="25">
        <v>44408</v>
      </c>
      <c r="B10" s="26">
        <v>117.17919999999999</v>
      </c>
      <c r="C10" s="28">
        <f t="shared" si="7"/>
        <v>3.0039055254878821E-2</v>
      </c>
      <c r="D10" s="27">
        <v>26554.51</v>
      </c>
      <c r="E10" s="28">
        <f t="shared" si="8"/>
        <v>1.5245207938901384E-2</v>
      </c>
      <c r="F10" s="27">
        <v>8412.77</v>
      </c>
      <c r="G10" s="28">
        <f t="shared" si="9"/>
        <v>9.8102997945033188E-3</v>
      </c>
      <c r="I10" s="25">
        <v>44773</v>
      </c>
      <c r="J10" s="26">
        <v>82.295400000000001</v>
      </c>
      <c r="K10" s="28">
        <f t="shared" si="0"/>
        <v>0.12332719996068819</v>
      </c>
      <c r="L10" s="27">
        <v>28897.919999999998</v>
      </c>
      <c r="M10" s="28">
        <f t="shared" si="0"/>
        <v>9.7570813605388329E-2</v>
      </c>
      <c r="N10" s="27">
        <v>6671.8</v>
      </c>
      <c r="O10" s="28">
        <f t="shared" si="1"/>
        <v>4.887013554600439E-2</v>
      </c>
      <c r="Q10" s="25">
        <v>43555</v>
      </c>
      <c r="R10" s="26">
        <v>110.7642</v>
      </c>
      <c r="S10" s="28">
        <f t="shared" si="2"/>
        <v>7.0512349664245244E-2</v>
      </c>
      <c r="T10" s="27">
        <v>18122.52</v>
      </c>
      <c r="U10" s="28">
        <f t="shared" si="3"/>
        <v>7.9036147447767657E-2</v>
      </c>
      <c r="W10" s="25">
        <v>45626</v>
      </c>
      <c r="X10" s="26">
        <v>110.7701</v>
      </c>
      <c r="Y10" s="28">
        <f t="shared" si="4"/>
        <v>1.7714668969699199E-2</v>
      </c>
      <c r="Z10" s="27">
        <v>45481.603499999997</v>
      </c>
      <c r="AA10" s="28">
        <f t="shared" si="5"/>
        <v>5.5498264973885547E-4</v>
      </c>
      <c r="AC10" s="25">
        <v>43555</v>
      </c>
      <c r="AD10" s="26">
        <v>96.135999999999996</v>
      </c>
      <c r="AE10" s="28">
        <f t="shared" si="10"/>
        <v>7.5693288218128263E-2</v>
      </c>
      <c r="AF10" s="27">
        <v>18122.52</v>
      </c>
      <c r="AG10" s="28">
        <f t="shared" si="6"/>
        <v>7.9036147447767657E-2</v>
      </c>
    </row>
    <row r="11" spans="1:33" x14ac:dyDescent="0.25">
      <c r="A11" s="25">
        <v>44439</v>
      </c>
      <c r="B11" s="26">
        <v>124.67449999999999</v>
      </c>
      <c r="C11" s="28">
        <f t="shared" si="7"/>
        <v>6.3964423720250796E-2</v>
      </c>
      <c r="D11" s="27">
        <v>28306.720000000001</v>
      </c>
      <c r="E11" s="28">
        <f t="shared" si="8"/>
        <v>6.5985401349902606E-2</v>
      </c>
      <c r="F11" s="27">
        <v>9038.52</v>
      </c>
      <c r="G11" s="28">
        <f t="shared" si="9"/>
        <v>7.4380970833625604E-2</v>
      </c>
      <c r="I11" s="25">
        <v>44804</v>
      </c>
      <c r="J11" s="26">
        <v>85.036000000000001</v>
      </c>
      <c r="K11" s="28">
        <f t="shared" si="0"/>
        <v>3.330198285687902E-2</v>
      </c>
      <c r="L11" s="27">
        <v>30286.65</v>
      </c>
      <c r="M11" s="28">
        <f t="shared" si="0"/>
        <v>4.8056399906982961E-2</v>
      </c>
      <c r="N11" s="27">
        <v>6864.23</v>
      </c>
      <c r="O11" s="28">
        <f t="shared" si="1"/>
        <v>2.884229143559458E-2</v>
      </c>
      <c r="Q11" s="25">
        <v>43585</v>
      </c>
      <c r="R11" s="26">
        <v>111.2458</v>
      </c>
      <c r="S11" s="28">
        <f t="shared" si="2"/>
        <v>4.3479752483202017E-3</v>
      </c>
      <c r="T11" s="27">
        <v>18111.05</v>
      </c>
      <c r="U11" s="28">
        <f t="shared" si="3"/>
        <v>-6.3291418632738239E-4</v>
      </c>
      <c r="W11" s="25">
        <v>45657</v>
      </c>
      <c r="X11" s="26">
        <v>109.2945</v>
      </c>
      <c r="Y11" s="28">
        <f t="shared" si="4"/>
        <v>-1.3321284353810303E-2</v>
      </c>
      <c r="Z11" s="27">
        <v>44801.510300000002</v>
      </c>
      <c r="AA11" s="28">
        <f t="shared" si="5"/>
        <v>-1.4953149134242727E-2</v>
      </c>
      <c r="AC11" s="25">
        <v>43585</v>
      </c>
      <c r="AD11" s="26">
        <v>96.952799999999996</v>
      </c>
      <c r="AE11" s="28">
        <f t="shared" si="10"/>
        <v>8.4962969127069243E-3</v>
      </c>
      <c r="AF11" s="27">
        <v>18111.05</v>
      </c>
      <c r="AG11" s="28">
        <f t="shared" si="6"/>
        <v>-6.3291418632738239E-4</v>
      </c>
    </row>
    <row r="12" spans="1:33" x14ac:dyDescent="0.25">
      <c r="A12" s="25">
        <v>44469</v>
      </c>
      <c r="B12" s="26">
        <v>126.5551</v>
      </c>
      <c r="C12" s="28">
        <f t="shared" si="7"/>
        <v>1.5084078941563828E-2</v>
      </c>
      <c r="D12" s="27">
        <v>29270.57</v>
      </c>
      <c r="E12" s="28">
        <f t="shared" si="8"/>
        <v>3.405021846402545E-2</v>
      </c>
      <c r="F12" s="27">
        <v>9330.75</v>
      </c>
      <c r="G12" s="28">
        <f t="shared" si="9"/>
        <v>3.233162066355999E-2</v>
      </c>
      <c r="I12" s="25">
        <v>44834</v>
      </c>
      <c r="J12" s="26">
        <v>82.9392</v>
      </c>
      <c r="K12" s="28">
        <f t="shared" si="0"/>
        <v>-2.4657791993978995E-2</v>
      </c>
      <c r="L12" s="27">
        <v>29310.51</v>
      </c>
      <c r="M12" s="28">
        <f t="shared" si="0"/>
        <v>-3.2230041949175781E-2</v>
      </c>
      <c r="N12" s="27">
        <v>6620.05</v>
      </c>
      <c r="O12" s="28">
        <f t="shared" si="1"/>
        <v>-3.5572817344407093E-2</v>
      </c>
      <c r="Q12" s="25">
        <v>43616</v>
      </c>
      <c r="R12" s="26">
        <v>113.756</v>
      </c>
      <c r="S12" s="28">
        <f t="shared" si="2"/>
        <v>2.2564447376889785E-2</v>
      </c>
      <c r="T12" s="27">
        <v>18396.43</v>
      </c>
      <c r="U12" s="28">
        <f t="shared" si="3"/>
        <v>1.5757231082681677E-2</v>
      </c>
      <c r="W12" s="25">
        <v>45688</v>
      </c>
      <c r="X12" s="26">
        <v>104.9671</v>
      </c>
      <c r="Y12" s="28">
        <f t="shared" si="4"/>
        <v>-3.9593941140679489E-2</v>
      </c>
      <c r="Z12" s="27">
        <v>43263.660799999998</v>
      </c>
      <c r="AA12" s="28">
        <f t="shared" si="5"/>
        <v>-3.4325840573280919E-2</v>
      </c>
      <c r="AC12" s="25">
        <v>43616</v>
      </c>
      <c r="AD12" s="26">
        <v>100.69450000000001</v>
      </c>
      <c r="AE12" s="28">
        <f t="shared" si="10"/>
        <v>3.8593006081309777E-2</v>
      </c>
      <c r="AF12" s="27">
        <v>18396.43</v>
      </c>
      <c r="AG12" s="28">
        <f t="shared" si="6"/>
        <v>1.5757231082681677E-2</v>
      </c>
    </row>
    <row r="13" spans="1:33" x14ac:dyDescent="0.25">
      <c r="A13" s="25">
        <v>44500</v>
      </c>
      <c r="B13" s="26">
        <v>126.73260000000001</v>
      </c>
      <c r="C13" s="28">
        <f t="shared" si="7"/>
        <v>1.4025511417556924E-3</v>
      </c>
      <c r="D13" s="27">
        <v>29359.68</v>
      </c>
      <c r="E13" s="28">
        <f t="shared" si="8"/>
        <v>3.0443547904943635E-3</v>
      </c>
      <c r="F13" s="27">
        <v>9366.08</v>
      </c>
      <c r="G13" s="28">
        <f t="shared" si="9"/>
        <v>3.7864051657154896E-3</v>
      </c>
      <c r="I13" s="25">
        <v>44865</v>
      </c>
      <c r="J13" s="26">
        <v>83.804699999999997</v>
      </c>
      <c r="K13" s="28">
        <f t="shared" si="0"/>
        <v>1.043535505526938E-2</v>
      </c>
      <c r="L13" s="27">
        <v>30508.74</v>
      </c>
      <c r="M13" s="28">
        <f t="shared" si="0"/>
        <v>4.0880557861326938E-2</v>
      </c>
      <c r="N13" s="27">
        <v>6807.17</v>
      </c>
      <c r="O13" s="28">
        <f t="shared" si="1"/>
        <v>2.8265647540426375E-2</v>
      </c>
      <c r="Q13" s="25">
        <v>43644</v>
      </c>
      <c r="R13" s="26">
        <v>114.51560000000001</v>
      </c>
      <c r="S13" s="28">
        <f t="shared" si="2"/>
        <v>6.6774499806603327E-3</v>
      </c>
      <c r="T13" s="27">
        <v>18162.77</v>
      </c>
      <c r="U13" s="28">
        <f t="shared" si="3"/>
        <v>-1.270137738680821E-2</v>
      </c>
      <c r="W13" s="25">
        <v>45716</v>
      </c>
      <c r="X13" s="26">
        <v>97.174800000000005</v>
      </c>
      <c r="Y13" s="28">
        <f t="shared" si="4"/>
        <v>-7.4235641453369694E-2</v>
      </c>
      <c r="Z13" s="27">
        <v>39915.286</v>
      </c>
      <c r="AA13" s="28">
        <f t="shared" si="5"/>
        <v>-7.739462491347926E-2</v>
      </c>
      <c r="AC13" s="25">
        <v>43644</v>
      </c>
      <c r="AD13" s="26">
        <v>101.1414</v>
      </c>
      <c r="AE13" s="28">
        <f t="shared" si="10"/>
        <v>4.4381768616954531E-3</v>
      </c>
      <c r="AF13" s="27">
        <v>18162.77</v>
      </c>
      <c r="AG13" s="28">
        <f t="shared" si="6"/>
        <v>-1.270137738680821E-2</v>
      </c>
    </row>
    <row r="14" spans="1:33" x14ac:dyDescent="0.25">
      <c r="A14" s="25">
        <v>44530</v>
      </c>
      <c r="B14" s="26">
        <v>124.577</v>
      </c>
      <c r="C14" s="28">
        <f t="shared" si="7"/>
        <v>-1.7009041083351883E-2</v>
      </c>
      <c r="D14" s="27">
        <v>28507.17</v>
      </c>
      <c r="E14" s="28">
        <f t="shared" si="8"/>
        <v>-2.9036760618644464E-2</v>
      </c>
      <c r="F14" s="27">
        <v>9061.94</v>
      </c>
      <c r="G14" s="28">
        <f t="shared" si="9"/>
        <v>-3.2472496498001213E-2</v>
      </c>
      <c r="I14" s="25">
        <v>44895</v>
      </c>
      <c r="J14" s="26">
        <v>82.9435</v>
      </c>
      <c r="K14" s="28">
        <f t="shared" si="0"/>
        <v>-1.0276273287775028E-2</v>
      </c>
      <c r="L14" s="27">
        <v>31565.040000000001</v>
      </c>
      <c r="M14" s="28">
        <f t="shared" si="0"/>
        <v>3.4622865447737183E-2</v>
      </c>
      <c r="N14" s="27">
        <v>7010.94</v>
      </c>
      <c r="O14" s="28">
        <f t="shared" si="1"/>
        <v>2.9934613062403193E-2</v>
      </c>
      <c r="Q14" s="25">
        <v>43677</v>
      </c>
      <c r="R14" s="26">
        <v>103.0658</v>
      </c>
      <c r="S14" s="28">
        <f t="shared" si="2"/>
        <v>-9.9984630914914718E-2</v>
      </c>
      <c r="T14" s="27">
        <v>17060.82</v>
      </c>
      <c r="U14" s="28">
        <f t="shared" si="3"/>
        <v>-6.0670811775957123E-2</v>
      </c>
      <c r="W14" s="25">
        <v>45747</v>
      </c>
      <c r="X14" s="26">
        <v>104.84569999999999</v>
      </c>
      <c r="Y14" s="28">
        <f t="shared" si="4"/>
        <v>7.8939189995760106E-2</v>
      </c>
      <c r="Z14" s="27">
        <v>42835.208500000001</v>
      </c>
      <c r="AA14" s="28">
        <f t="shared" si="5"/>
        <v>7.3152989558937342E-2</v>
      </c>
      <c r="AC14" s="25">
        <v>43677</v>
      </c>
      <c r="AD14" s="26">
        <v>90.120900000000006</v>
      </c>
      <c r="AE14" s="28">
        <f t="shared" si="10"/>
        <v>-0.10896131554437649</v>
      </c>
      <c r="AF14" s="27">
        <v>17060.82</v>
      </c>
      <c r="AG14" s="28">
        <f t="shared" si="6"/>
        <v>-6.0670811775957123E-2</v>
      </c>
    </row>
    <row r="15" spans="1:33" x14ac:dyDescent="0.25">
      <c r="A15" s="25">
        <v>44561</v>
      </c>
      <c r="B15" s="26">
        <v>128.77719999999999</v>
      </c>
      <c r="C15" s="28">
        <f t="shared" si="7"/>
        <v>3.3715693908185296E-2</v>
      </c>
      <c r="D15" s="27">
        <v>29179.68</v>
      </c>
      <c r="E15" s="28">
        <f t="shared" si="8"/>
        <v>2.3590907129680039E-2</v>
      </c>
      <c r="F15" s="27">
        <v>9253.6200000000008</v>
      </c>
      <c r="G15" s="28">
        <f t="shared" si="9"/>
        <v>2.1152203612030185E-2</v>
      </c>
      <c r="I15" s="25">
        <v>44926</v>
      </c>
      <c r="J15" s="26">
        <v>79.230400000000003</v>
      </c>
      <c r="K15" s="28">
        <f t="shared" si="0"/>
        <v>-4.4766618240127287E-2</v>
      </c>
      <c r="L15" s="27">
        <v>30570.14</v>
      </c>
      <c r="M15" s="28">
        <f t="shared" si="0"/>
        <v>-3.151904765525404E-2</v>
      </c>
      <c r="N15" s="27">
        <v>6623.79</v>
      </c>
      <c r="O15" s="28">
        <f t="shared" si="1"/>
        <v>-5.5220840572020258E-2</v>
      </c>
      <c r="Q15" s="25">
        <v>43707</v>
      </c>
      <c r="R15" s="26">
        <v>107.9432</v>
      </c>
      <c r="S15" s="28">
        <f t="shared" si="2"/>
        <v>4.7323166365564662E-2</v>
      </c>
      <c r="T15" s="27">
        <v>16984.46</v>
      </c>
      <c r="U15" s="28">
        <f t="shared" si="3"/>
        <v>-4.4757520447434862E-3</v>
      </c>
      <c r="W15" s="25">
        <v>45777</v>
      </c>
      <c r="X15" s="26">
        <v>107.7958</v>
      </c>
      <c r="Y15" s="28">
        <v>2.8137539260074673E-2</v>
      </c>
      <c r="Z15" s="27">
        <v>44195.9715</v>
      </c>
      <c r="AA15" s="28">
        <v>3.1767395272512822E-2</v>
      </c>
      <c r="AC15" s="25">
        <v>43707</v>
      </c>
      <c r="AD15" s="26">
        <v>95.6815</v>
      </c>
      <c r="AE15" s="28">
        <f t="shared" si="10"/>
        <v>6.1701558683945557E-2</v>
      </c>
      <c r="AF15" s="27">
        <v>16984.46</v>
      </c>
      <c r="AG15" s="28">
        <f t="shared" si="6"/>
        <v>-4.4757520447434862E-3</v>
      </c>
    </row>
    <row r="16" spans="1:33" x14ac:dyDescent="0.25">
      <c r="A16" s="25">
        <v>44592</v>
      </c>
      <c r="B16" s="26">
        <v>123.92749999999999</v>
      </c>
      <c r="C16" s="28">
        <f t="shared" si="7"/>
        <v>-3.7659616764458281E-2</v>
      </c>
      <c r="D16" s="27">
        <v>29069.01</v>
      </c>
      <c r="E16" s="28">
        <f t="shared" si="8"/>
        <v>-3.7927078021418037E-3</v>
      </c>
      <c r="F16" s="27">
        <v>9226.59</v>
      </c>
      <c r="G16" s="28">
        <f t="shared" si="9"/>
        <v>-2.921019017422477E-3</v>
      </c>
      <c r="I16" s="25">
        <v>44957</v>
      </c>
      <c r="J16" s="26">
        <v>75.426400000000001</v>
      </c>
      <c r="K16" s="28">
        <f t="shared" si="0"/>
        <v>-4.8011874230093565E-2</v>
      </c>
      <c r="L16" s="27">
        <v>29550.31</v>
      </c>
      <c r="M16" s="28">
        <f t="shared" si="0"/>
        <v>-3.3360331356022566E-2</v>
      </c>
      <c r="N16" s="27">
        <v>6538.77</v>
      </c>
      <c r="O16" s="28">
        <f t="shared" si="1"/>
        <v>-1.283555185173435E-2</v>
      </c>
      <c r="Q16" s="25">
        <v>43738</v>
      </c>
      <c r="R16" s="26">
        <v>113.7538</v>
      </c>
      <c r="S16" s="28">
        <f t="shared" si="2"/>
        <v>5.383016252992312E-2</v>
      </c>
      <c r="T16" s="27">
        <v>17677.61</v>
      </c>
      <c r="U16" s="28">
        <f t="shared" si="3"/>
        <v>4.0810835316518856E-2</v>
      </c>
      <c r="W16" s="25">
        <v>45808</v>
      </c>
      <c r="X16" s="26">
        <v>111.9358</v>
      </c>
      <c r="Y16" s="28">
        <v>3.8405949025843267E-2</v>
      </c>
      <c r="Z16" s="27">
        <v>45761.725299999998</v>
      </c>
      <c r="AA16" s="28">
        <v>3.5427523071870803E-2</v>
      </c>
      <c r="AC16" s="25">
        <v>43738</v>
      </c>
      <c r="AD16" s="26">
        <v>100.5685</v>
      </c>
      <c r="AE16" s="28">
        <f t="shared" si="10"/>
        <v>5.1075704289752943E-2</v>
      </c>
      <c r="AF16" s="27">
        <v>17677.61</v>
      </c>
      <c r="AG16" s="28">
        <f t="shared" si="6"/>
        <v>4.0810835316518856E-2</v>
      </c>
    </row>
    <row r="17" spans="1:33" x14ac:dyDescent="0.25">
      <c r="A17" s="25">
        <v>44620</v>
      </c>
      <c r="B17" s="26">
        <v>119.2247</v>
      </c>
      <c r="C17" s="28">
        <f t="shared" si="7"/>
        <v>-3.7947993786689782E-2</v>
      </c>
      <c r="D17" s="27">
        <v>27923.279999999999</v>
      </c>
      <c r="E17" s="28">
        <f t="shared" si="8"/>
        <v>-3.9414138974805168E-2</v>
      </c>
      <c r="F17" s="27">
        <v>8916.2900000000009</v>
      </c>
      <c r="G17" s="28">
        <f t="shared" si="9"/>
        <v>-3.3631059795655727E-2</v>
      </c>
      <c r="I17" s="25">
        <v>44985</v>
      </c>
      <c r="J17" s="26">
        <v>75.596500000000006</v>
      </c>
      <c r="K17" s="28">
        <f t="shared" si="0"/>
        <v>2.2551785581705897E-3</v>
      </c>
      <c r="L17" s="27">
        <v>28738.22</v>
      </c>
      <c r="M17" s="28">
        <f t="shared" si="0"/>
        <v>-2.7481606791942337E-2</v>
      </c>
      <c r="N17" s="27">
        <v>6556.15</v>
      </c>
      <c r="O17" s="28">
        <f t="shared" si="1"/>
        <v>2.6579922523652932E-3</v>
      </c>
      <c r="Q17" s="25">
        <v>43769</v>
      </c>
      <c r="R17" s="26">
        <v>117.1584</v>
      </c>
      <c r="S17" s="28">
        <f t="shared" si="2"/>
        <v>2.9929549606254824E-2</v>
      </c>
      <c r="T17" s="27">
        <v>18380.009999999998</v>
      </c>
      <c r="U17" s="28">
        <f t="shared" si="3"/>
        <v>3.9733878052519378E-2</v>
      </c>
      <c r="W17" s="25">
        <v>45838</v>
      </c>
      <c r="X17" s="26">
        <v>116.4508</v>
      </c>
      <c r="Y17" s="28">
        <v>4.0335620954154106E-2</v>
      </c>
      <c r="Z17" s="27">
        <v>47447.448100000001</v>
      </c>
      <c r="AA17" s="28">
        <v>3.6836959029602045E-2</v>
      </c>
      <c r="AC17" s="25">
        <v>43769</v>
      </c>
      <c r="AD17" s="26">
        <v>102.142</v>
      </c>
      <c r="AE17" s="28">
        <f t="shared" si="10"/>
        <v>1.5646052193281079E-2</v>
      </c>
      <c r="AF17" s="27">
        <v>18380.009999999998</v>
      </c>
      <c r="AG17" s="28">
        <f t="shared" si="6"/>
        <v>3.9733878052519378E-2</v>
      </c>
    </row>
    <row r="18" spans="1:33" x14ac:dyDescent="0.25">
      <c r="A18" s="25">
        <v>44651</v>
      </c>
      <c r="B18" s="26">
        <v>122.7978</v>
      </c>
      <c r="C18" s="28">
        <f t="shared" si="7"/>
        <v>2.9969461026112754E-2</v>
      </c>
      <c r="D18" s="27">
        <v>29106.07</v>
      </c>
      <c r="E18" s="28">
        <f t="shared" si="8"/>
        <v>4.2358562461143556E-2</v>
      </c>
      <c r="F18" s="27">
        <v>9279.52</v>
      </c>
      <c r="G18" s="28">
        <f t="shared" si="9"/>
        <v>4.0737795652676212E-2</v>
      </c>
      <c r="I18" s="25">
        <v>45016</v>
      </c>
      <c r="J18" s="26">
        <v>74.349900000000005</v>
      </c>
      <c r="K18" s="28">
        <f t="shared" si="0"/>
        <v>-1.6490181423743144E-2</v>
      </c>
      <c r="L18" s="27">
        <v>28840.63</v>
      </c>
      <c r="M18" s="28">
        <f t="shared" si="0"/>
        <v>3.5635470812040992E-3</v>
      </c>
      <c r="N18" s="27">
        <v>6453.05</v>
      </c>
      <c r="O18" s="28">
        <f t="shared" si="1"/>
        <v>-1.5725692670240821E-2</v>
      </c>
      <c r="Q18" s="25">
        <v>43798</v>
      </c>
      <c r="R18" s="26">
        <v>116.7971</v>
      </c>
      <c r="S18" s="28">
        <f t="shared" si="2"/>
        <v>-3.0838591172293039E-3</v>
      </c>
      <c r="T18" s="27">
        <v>18600.400000000001</v>
      </c>
      <c r="U18" s="28">
        <f t="shared" si="3"/>
        <v>1.1990744292304623E-2</v>
      </c>
      <c r="W18" s="25">
        <v>45869</v>
      </c>
      <c r="X18" s="26">
        <v>113.53440000000001</v>
      </c>
      <c r="Y18" s="28">
        <v>-2.5044052939095285E-2</v>
      </c>
      <c r="Z18" s="27">
        <v>46160.076800000003</v>
      </c>
      <c r="AA18" s="28">
        <v>-2.7132571962284247E-2</v>
      </c>
      <c r="AC18" s="25">
        <v>43798</v>
      </c>
      <c r="AD18" s="26">
        <v>101.3565</v>
      </c>
      <c r="AE18" s="28">
        <f t="shared" si="10"/>
        <v>-7.690274323980284E-3</v>
      </c>
      <c r="AF18" s="27">
        <v>18600.400000000001</v>
      </c>
      <c r="AG18" s="28">
        <f t="shared" si="6"/>
        <v>1.1990744292304623E-2</v>
      </c>
    </row>
    <row r="19" spans="1:33" x14ac:dyDescent="0.25">
      <c r="A19" s="25">
        <v>44681</v>
      </c>
      <c r="B19" s="26">
        <v>118.693</v>
      </c>
      <c r="C19" s="28">
        <f t="shared" si="7"/>
        <v>-3.3427308958303814E-2</v>
      </c>
      <c r="D19" s="27">
        <v>28940.52</v>
      </c>
      <c r="E19" s="28">
        <f t="shared" si="8"/>
        <v>-5.6878170086170909E-3</v>
      </c>
      <c r="F19" s="27">
        <v>9216.2000000000007</v>
      </c>
      <c r="G19" s="28">
        <f t="shared" si="9"/>
        <v>-6.8236288083866059E-3</v>
      </c>
      <c r="I19" s="25">
        <v>45046</v>
      </c>
      <c r="J19" s="26">
        <v>77.676400000000001</v>
      </c>
      <c r="K19" s="28">
        <f t="shared" si="0"/>
        <v>4.4741149618223952E-2</v>
      </c>
      <c r="L19" s="27">
        <v>30163.3</v>
      </c>
      <c r="M19" s="28">
        <f t="shared" si="0"/>
        <v>4.5861342141277683E-2</v>
      </c>
      <c r="N19" s="27">
        <v>6625.93</v>
      </c>
      <c r="O19" s="28">
        <f t="shared" si="1"/>
        <v>2.679043243117607E-2</v>
      </c>
      <c r="Q19" s="25">
        <v>43830</v>
      </c>
      <c r="R19" s="26">
        <v>118.2343</v>
      </c>
      <c r="S19" s="28">
        <f t="shared" si="2"/>
        <v>1.2305100041011263E-2</v>
      </c>
      <c r="T19" s="27">
        <v>18721.02</v>
      </c>
      <c r="U19" s="28">
        <f t="shared" si="3"/>
        <v>6.4848067783487284E-3</v>
      </c>
      <c r="W19" s="25">
        <v>45900</v>
      </c>
      <c r="X19" s="26">
        <v>111.3737</v>
      </c>
      <c r="Y19" s="28">
        <v>-1.9031236347750169E-2</v>
      </c>
      <c r="Z19" s="27">
        <v>45353.5432</v>
      </c>
      <c r="AA19" s="28">
        <v>-1.7472535920910803E-2</v>
      </c>
      <c r="AC19" s="25">
        <v>43830</v>
      </c>
      <c r="AD19" s="26">
        <v>101.77160000000001</v>
      </c>
      <c r="AE19" s="28">
        <f t="shared" si="10"/>
        <v>4.0954452847130618E-3</v>
      </c>
      <c r="AF19" s="27">
        <v>18721.02</v>
      </c>
      <c r="AG19" s="28">
        <f t="shared" si="6"/>
        <v>6.4848067783487284E-3</v>
      </c>
    </row>
    <row r="20" spans="1:33" x14ac:dyDescent="0.25">
      <c r="A20" s="25">
        <v>44712</v>
      </c>
      <c r="B20" s="26">
        <v>112.52379999999999</v>
      </c>
      <c r="C20" s="28">
        <f t="shared" si="7"/>
        <v>-5.1976106425821289E-2</v>
      </c>
      <c r="D20" s="27">
        <v>27737.17</v>
      </c>
      <c r="E20" s="28">
        <f t="shared" si="8"/>
        <v>-4.1580109825255507E-2</v>
      </c>
      <c r="F20" s="27">
        <v>8867.61</v>
      </c>
      <c r="G20" s="28">
        <f t="shared" si="9"/>
        <v>-3.7823614938911954E-2</v>
      </c>
      <c r="I20" s="25">
        <v>45077</v>
      </c>
      <c r="J20" s="26">
        <v>82.811499999999995</v>
      </c>
      <c r="K20" s="28">
        <f t="shared" ref="K20:K41" si="11">J20/J19-1</f>
        <v>6.6108882491979548E-2</v>
      </c>
      <c r="L20" s="27">
        <v>31302.01</v>
      </c>
      <c r="M20" s="28">
        <f t="shared" ref="M20:M41" si="12">L20/L19-1</f>
        <v>3.7751505969174426E-2</v>
      </c>
      <c r="N20" s="27">
        <v>7039.19</v>
      </c>
      <c r="O20" s="28">
        <f t="shared" si="1"/>
        <v>6.2370112572876391E-2</v>
      </c>
      <c r="Q20" s="25">
        <v>43861</v>
      </c>
      <c r="R20" s="26">
        <v>123.7152</v>
      </c>
      <c r="S20" s="28">
        <f t="shared" si="2"/>
        <v>4.6356260408358496E-2</v>
      </c>
      <c r="T20" s="27">
        <v>18702.45</v>
      </c>
      <c r="U20" s="28">
        <f t="shared" si="3"/>
        <v>-9.9193313184853249E-4</v>
      </c>
      <c r="W20" s="25">
        <v>45930</v>
      </c>
      <c r="X20" s="26">
        <v>112.1275</v>
      </c>
      <c r="Y20" s="28">
        <v>6.7682047018282621E-3</v>
      </c>
      <c r="Z20" s="27">
        <v>45914.575299999997</v>
      </c>
      <c r="AA20" s="28">
        <v>1.2370193383259176E-2</v>
      </c>
      <c r="AC20" s="25">
        <v>43861</v>
      </c>
      <c r="AD20" s="26">
        <v>107.23399999999999</v>
      </c>
      <c r="AE20" s="28">
        <f t="shared" si="10"/>
        <v>5.3673126884120848E-2</v>
      </c>
      <c r="AF20" s="27">
        <v>18702.45</v>
      </c>
      <c r="AG20" s="28">
        <f t="shared" si="6"/>
        <v>-9.9193313184853249E-4</v>
      </c>
    </row>
    <row r="21" spans="1:33" x14ac:dyDescent="0.25">
      <c r="A21" s="25">
        <v>44742</v>
      </c>
      <c r="B21" s="26">
        <v>106.2697</v>
      </c>
      <c r="C21" s="28">
        <f t="shared" si="7"/>
        <v>-5.5580241691091103E-2</v>
      </c>
      <c r="D21" s="27">
        <v>26328.98</v>
      </c>
      <c r="E21" s="28">
        <f t="shared" si="8"/>
        <v>-5.0769058270905054E-2</v>
      </c>
      <c r="F21" s="27">
        <v>8430.0499999999993</v>
      </c>
      <c r="G21" s="28">
        <f t="shared" si="9"/>
        <v>-4.9343622464226744E-2</v>
      </c>
      <c r="I21" s="25">
        <v>45107</v>
      </c>
      <c r="J21" s="26">
        <v>86.387500000000003</v>
      </c>
      <c r="K21" s="28">
        <f t="shared" si="11"/>
        <v>4.3182408240401537E-2</v>
      </c>
      <c r="L21" s="27">
        <v>32641.79</v>
      </c>
      <c r="M21" s="28">
        <f t="shared" si="12"/>
        <v>4.280172423432238E-2</v>
      </c>
      <c r="N21" s="27">
        <v>7503.62</v>
      </c>
      <c r="O21" s="28">
        <f t="shared" si="1"/>
        <v>6.5977761645871214E-2</v>
      </c>
      <c r="Q21" s="25">
        <v>43889</v>
      </c>
      <c r="R21" s="26">
        <v>124.9002</v>
      </c>
      <c r="S21" s="28">
        <f t="shared" si="2"/>
        <v>9.5784511523240301E-3</v>
      </c>
      <c r="T21" s="27">
        <v>17502.48</v>
      </c>
      <c r="U21" s="28">
        <f t="shared" si="3"/>
        <v>-6.4161112581506807E-2</v>
      </c>
      <c r="W21" s="25">
        <v>45961</v>
      </c>
      <c r="X21" s="26">
        <v>116.7469</v>
      </c>
      <c r="Y21" s="28">
        <v>4.1197743640052575E-2</v>
      </c>
      <c r="Z21" s="27">
        <v>47876.898500000003</v>
      </c>
      <c r="AA21" s="28">
        <v>4.2738568029398794E-2</v>
      </c>
      <c r="AC21" s="25">
        <v>43889</v>
      </c>
      <c r="AD21" s="26">
        <v>110.3415</v>
      </c>
      <c r="AE21" s="28">
        <f t="shared" si="10"/>
        <v>2.8978682134397582E-2</v>
      </c>
      <c r="AF21" s="27">
        <v>17502.48</v>
      </c>
      <c r="AG21" s="28">
        <f t="shared" si="6"/>
        <v>-6.4161112581506807E-2</v>
      </c>
    </row>
    <row r="22" spans="1:33" x14ac:dyDescent="0.25">
      <c r="A22" s="25">
        <v>44773</v>
      </c>
      <c r="B22" s="26">
        <v>117.0329</v>
      </c>
      <c r="C22" s="28">
        <f t="shared" si="7"/>
        <v>0.10128192702153105</v>
      </c>
      <c r="D22" s="27">
        <v>28897.919999999998</v>
      </c>
      <c r="E22" s="28">
        <f t="shared" si="8"/>
        <v>9.7570813605388329E-2</v>
      </c>
      <c r="F22" s="27">
        <v>9256.93</v>
      </c>
      <c r="G22" s="28">
        <f t="shared" si="9"/>
        <v>9.8087199957295645E-2</v>
      </c>
      <c r="I22" s="25">
        <v>45138</v>
      </c>
      <c r="J22" s="26">
        <v>87.828500000000005</v>
      </c>
      <c r="K22" s="28">
        <f t="shared" si="11"/>
        <v>1.6680654029807673E-2</v>
      </c>
      <c r="L22" s="27">
        <v>33930.400000000001</v>
      </c>
      <c r="M22" s="28">
        <f t="shared" si="12"/>
        <v>3.9477308076548479E-2</v>
      </c>
      <c r="N22" s="27">
        <v>7679.8</v>
      </c>
      <c r="O22" s="28">
        <f t="shared" si="1"/>
        <v>2.3479333974801619E-2</v>
      </c>
      <c r="Q22" s="25">
        <v>43921</v>
      </c>
      <c r="R22" s="26">
        <v>96.893699999999995</v>
      </c>
      <c r="S22" s="28">
        <f t="shared" si="2"/>
        <v>-0.22423102605119927</v>
      </c>
      <c r="T22" s="27">
        <v>13327.7</v>
      </c>
      <c r="U22" s="28">
        <f t="shared" si="3"/>
        <v>-0.23852505473510033</v>
      </c>
      <c r="W22" s="25">
        <v>45991</v>
      </c>
      <c r="X22" s="26">
        <v>117.7072</v>
      </c>
      <c r="Y22" s="28">
        <v>8.2254860728636636E-3</v>
      </c>
      <c r="Z22" s="27">
        <v>48334.99</v>
      </c>
      <c r="AA22" s="28">
        <v>9.5681114347871965E-3</v>
      </c>
      <c r="AC22" s="25">
        <v>43921</v>
      </c>
      <c r="AD22" s="26">
        <v>82.448899999999995</v>
      </c>
      <c r="AE22" s="28">
        <f t="shared" si="10"/>
        <v>-0.25278431052686434</v>
      </c>
      <c r="AF22" s="27">
        <v>13327.7</v>
      </c>
      <c r="AG22" s="28">
        <f t="shared" si="6"/>
        <v>-0.23852505473510033</v>
      </c>
    </row>
    <row r="23" spans="1:33" x14ac:dyDescent="0.25">
      <c r="A23" s="25">
        <v>44804</v>
      </c>
      <c r="B23" s="26">
        <v>122.3985</v>
      </c>
      <c r="C23" s="28">
        <f t="shared" si="7"/>
        <v>4.5846937057870019E-2</v>
      </c>
      <c r="D23" s="27">
        <v>30286.65</v>
      </c>
      <c r="E23" s="28">
        <f t="shared" si="8"/>
        <v>4.8056399906982961E-2</v>
      </c>
      <c r="F23" s="27">
        <v>9690.5</v>
      </c>
      <c r="G23" s="28">
        <f t="shared" si="9"/>
        <v>4.6837342401854665E-2</v>
      </c>
      <c r="I23" s="25">
        <v>45169</v>
      </c>
      <c r="J23" s="26">
        <v>88.225399999999993</v>
      </c>
      <c r="K23" s="28">
        <f t="shared" si="11"/>
        <v>4.5190342542567041E-3</v>
      </c>
      <c r="L23" s="27">
        <v>33722.379999999997</v>
      </c>
      <c r="M23" s="28">
        <f t="shared" si="12"/>
        <v>-6.1307853724095196E-3</v>
      </c>
      <c r="N23" s="27">
        <v>7941.94</v>
      </c>
      <c r="O23" s="28">
        <f t="shared" si="1"/>
        <v>3.4133701398473937E-2</v>
      </c>
      <c r="Q23" s="25">
        <v>43951</v>
      </c>
      <c r="R23" s="26">
        <v>108.84739999999999</v>
      </c>
      <c r="S23" s="28">
        <f t="shared" si="2"/>
        <v>0.12336921801933465</v>
      </c>
      <c r="T23" s="27">
        <v>15278.03</v>
      </c>
      <c r="U23" s="28">
        <f t="shared" si="3"/>
        <v>0.14633657720386872</v>
      </c>
      <c r="W23" s="25">
        <v>46022</v>
      </c>
      <c r="X23" s="26">
        <v>115.373</v>
      </c>
      <c r="Y23" s="28">
        <v>-1.983056261639049E-2</v>
      </c>
      <c r="Z23" s="27">
        <v>48220.752699999997</v>
      </c>
      <c r="AA23" s="28">
        <v>-2.363449335564205E-3</v>
      </c>
      <c r="AC23" s="25">
        <v>43951</v>
      </c>
      <c r="AD23" s="26">
        <v>91.746899999999997</v>
      </c>
      <c r="AE23" s="28">
        <f t="shared" si="10"/>
        <v>0.11277288114213779</v>
      </c>
      <c r="AF23" s="27">
        <v>15278.03</v>
      </c>
      <c r="AG23" s="28">
        <f t="shared" si="6"/>
        <v>0.14633657720386872</v>
      </c>
    </row>
    <row r="24" spans="1:33" x14ac:dyDescent="0.25">
      <c r="A24" s="25">
        <v>44834</v>
      </c>
      <c r="B24" s="26">
        <v>120.9627</v>
      </c>
      <c r="C24" s="28">
        <f t="shared" si="7"/>
        <v>-1.1730535913430318E-2</v>
      </c>
      <c r="D24" s="27">
        <v>29310.51</v>
      </c>
      <c r="E24" s="28">
        <f t="shared" si="8"/>
        <v>-3.2230041949175781E-2</v>
      </c>
      <c r="F24" s="27">
        <v>9347.15</v>
      </c>
      <c r="G24" s="28">
        <f t="shared" si="9"/>
        <v>-3.5431608276146775E-2</v>
      </c>
      <c r="I24" s="25">
        <v>45199</v>
      </c>
      <c r="J24" s="26">
        <v>89.173000000000002</v>
      </c>
      <c r="K24" s="28">
        <f t="shared" si="11"/>
        <v>1.0740671053914186E-2</v>
      </c>
      <c r="L24" s="27">
        <v>34432.78</v>
      </c>
      <c r="M24" s="28">
        <f t="shared" si="12"/>
        <v>2.1066128784504645E-2</v>
      </c>
      <c r="N24" s="27">
        <v>8176.54</v>
      </c>
      <c r="O24" s="28">
        <f t="shared" si="1"/>
        <v>2.9539382065339348E-2</v>
      </c>
      <c r="Q24" s="25">
        <v>43980</v>
      </c>
      <c r="R24" s="26">
        <v>108.0184</v>
      </c>
      <c r="S24" s="28">
        <f t="shared" si="2"/>
        <v>-7.6161672212656795E-3</v>
      </c>
      <c r="T24" s="27">
        <v>14923.33</v>
      </c>
      <c r="U24" s="28">
        <f t="shared" si="3"/>
        <v>-2.3216343991993793E-2</v>
      </c>
      <c r="W24" s="25">
        <v>46053</v>
      </c>
      <c r="X24" s="26">
        <v>111.87560000000001</v>
      </c>
      <c r="Y24" s="28">
        <v>-3.0313851594393815E-2</v>
      </c>
      <c r="Z24" s="27">
        <v>46610.612699999998</v>
      </c>
      <c r="AA24" s="28">
        <v>-3.3391017556637981E-2</v>
      </c>
      <c r="AC24" s="25">
        <v>43980</v>
      </c>
      <c r="AD24" s="26">
        <v>89.807599999999994</v>
      </c>
      <c r="AE24" s="28">
        <f t="shared" si="10"/>
        <v>-2.113749892366934E-2</v>
      </c>
      <c r="AF24" s="27">
        <v>14923.33</v>
      </c>
      <c r="AG24" s="28">
        <f t="shared" si="6"/>
        <v>-2.3216343991993793E-2</v>
      </c>
    </row>
    <row r="25" spans="1:33" x14ac:dyDescent="0.25">
      <c r="A25" s="25">
        <v>44865</v>
      </c>
      <c r="B25" s="26">
        <v>124.3064</v>
      </c>
      <c r="C25" s="28">
        <f t="shared" si="7"/>
        <v>2.7642405468793152E-2</v>
      </c>
      <c r="D25" s="27">
        <v>30508.74</v>
      </c>
      <c r="E25" s="28">
        <f t="shared" si="8"/>
        <v>4.0880557861326938E-2</v>
      </c>
      <c r="F25" s="27">
        <v>9763.5400000000009</v>
      </c>
      <c r="G25" s="28">
        <f t="shared" si="9"/>
        <v>4.4547268418716035E-2</v>
      </c>
      <c r="I25" s="25">
        <v>45230</v>
      </c>
      <c r="J25" s="26">
        <v>86.785300000000007</v>
      </c>
      <c r="K25" s="28">
        <f t="shared" si="11"/>
        <v>-2.6776042075516093E-2</v>
      </c>
      <c r="L25" s="27">
        <v>33447.78</v>
      </c>
      <c r="M25" s="28">
        <f t="shared" si="12"/>
        <v>-2.8606461633362112E-2</v>
      </c>
      <c r="N25" s="27">
        <v>7976.04</v>
      </c>
      <c r="O25" s="28">
        <f t="shared" si="1"/>
        <v>-2.45213745667483E-2</v>
      </c>
      <c r="Q25" s="25">
        <v>44012</v>
      </c>
      <c r="R25" s="26">
        <v>114.1242</v>
      </c>
      <c r="S25" s="28">
        <f t="shared" si="2"/>
        <v>5.6525554905460629E-2</v>
      </c>
      <c r="T25" s="27">
        <v>16162.37</v>
      </c>
      <c r="U25" s="28">
        <f t="shared" si="3"/>
        <v>8.3027045572268365E-2</v>
      </c>
      <c r="W25" s="29"/>
      <c r="X25" s="30"/>
      <c r="Y25" s="31"/>
      <c r="Z25" s="32"/>
      <c r="AA25" s="31"/>
      <c r="AC25" s="25">
        <v>44012</v>
      </c>
      <c r="AD25" s="26">
        <v>93.122299999999996</v>
      </c>
      <c r="AE25" s="28">
        <f t="shared" si="10"/>
        <v>3.6908903032705442E-2</v>
      </c>
      <c r="AF25" s="27">
        <v>16162.37</v>
      </c>
      <c r="AG25" s="28">
        <f t="shared" si="6"/>
        <v>8.3027045572268365E-2</v>
      </c>
    </row>
    <row r="26" spans="1:33" x14ac:dyDescent="0.25">
      <c r="A26" s="25">
        <v>44895</v>
      </c>
      <c r="B26" s="26">
        <v>124.9701</v>
      </c>
      <c r="C26" s="28">
        <f t="shared" si="7"/>
        <v>5.3392262988873895E-3</v>
      </c>
      <c r="D26" s="27">
        <v>31565.040000000001</v>
      </c>
      <c r="E26" s="28">
        <f t="shared" si="8"/>
        <v>3.4622865447737183E-2</v>
      </c>
      <c r="F26" s="27">
        <v>10108.92</v>
      </c>
      <c r="G26" s="28">
        <f t="shared" si="9"/>
        <v>3.5374464589687626E-2</v>
      </c>
      <c r="I26" s="25">
        <v>45260</v>
      </c>
      <c r="J26" s="26">
        <v>93.418000000000006</v>
      </c>
      <c r="K26" s="28">
        <f t="shared" si="11"/>
        <v>7.6426537674006978E-2</v>
      </c>
      <c r="L26" s="27">
        <v>35808.42</v>
      </c>
      <c r="M26" s="28">
        <f t="shared" si="12"/>
        <v>7.0576881335622232E-2</v>
      </c>
      <c r="N26" s="27">
        <v>8708.65</v>
      </c>
      <c r="O26" s="28">
        <f t="shared" si="1"/>
        <v>9.1851344777608812E-2</v>
      </c>
      <c r="Q26" s="25">
        <v>44043</v>
      </c>
      <c r="R26" s="26">
        <v>123.2184</v>
      </c>
      <c r="S26" s="28">
        <f t="shared" si="2"/>
        <v>7.9686867465445621E-2</v>
      </c>
      <c r="T26" s="27">
        <v>17309.41</v>
      </c>
      <c r="U26" s="28">
        <f t="shared" si="3"/>
        <v>7.0969789702871378E-2</v>
      </c>
      <c r="W26" s="29"/>
      <c r="X26" s="30"/>
      <c r="Y26" s="31"/>
      <c r="Z26" s="32"/>
      <c r="AA26" s="31"/>
      <c r="AC26" s="25">
        <v>44043</v>
      </c>
      <c r="AD26" s="26">
        <v>99.026899999999998</v>
      </c>
      <c r="AE26" s="28">
        <f t="shared" si="10"/>
        <v>6.3406939046823485E-2</v>
      </c>
      <c r="AF26" s="27">
        <v>17309.41</v>
      </c>
      <c r="AG26" s="28">
        <f t="shared" si="6"/>
        <v>7.0969789702871378E-2</v>
      </c>
    </row>
    <row r="27" spans="1:33" x14ac:dyDescent="0.25">
      <c r="A27" s="25">
        <v>44926</v>
      </c>
      <c r="B27" s="26">
        <v>120.8733</v>
      </c>
      <c r="C27" s="28">
        <f t="shared" si="7"/>
        <v>-3.2782241512169685E-2</v>
      </c>
      <c r="D27" s="27">
        <v>30570.14</v>
      </c>
      <c r="E27" s="28">
        <f t="shared" si="8"/>
        <v>-3.151904765525404E-2</v>
      </c>
      <c r="F27" s="27">
        <v>9778.4</v>
      </c>
      <c r="G27" s="28">
        <f t="shared" si="9"/>
        <v>-3.2695876513020194E-2</v>
      </c>
      <c r="I27" s="25">
        <v>45291</v>
      </c>
      <c r="J27" s="26">
        <v>97.840500000000006</v>
      </c>
      <c r="K27" s="28">
        <f t="shared" si="11"/>
        <v>4.7340983536363401E-2</v>
      </c>
      <c r="L27" s="27">
        <v>38685.410000000003</v>
      </c>
      <c r="M27" s="28">
        <f t="shared" si="12"/>
        <v>8.0343952623433301E-2</v>
      </c>
      <c r="N27" s="27">
        <v>9272.8799999999992</v>
      </c>
      <c r="O27" s="28">
        <f t="shared" si="1"/>
        <v>6.4789605736824907E-2</v>
      </c>
      <c r="Q27" s="25">
        <v>44074</v>
      </c>
      <c r="R27" s="26">
        <v>125.3847</v>
      </c>
      <c r="S27" s="28">
        <f t="shared" si="2"/>
        <v>1.7580978165598671E-2</v>
      </c>
      <c r="T27" s="27">
        <v>17985.91</v>
      </c>
      <c r="U27" s="28">
        <f t="shared" si="3"/>
        <v>3.9082787917092521E-2</v>
      </c>
      <c r="W27" s="29"/>
      <c r="X27" s="30"/>
      <c r="Y27" s="31"/>
      <c r="Z27" s="32"/>
      <c r="AA27" s="31"/>
      <c r="AC27" s="25">
        <v>44074</v>
      </c>
      <c r="AD27" s="26">
        <v>101.9466</v>
      </c>
      <c r="AE27" s="28">
        <f t="shared" si="10"/>
        <v>2.948390790785127E-2</v>
      </c>
      <c r="AF27" s="27">
        <v>17985.91</v>
      </c>
      <c r="AG27" s="28">
        <f t="shared" si="6"/>
        <v>3.9082787917092521E-2</v>
      </c>
    </row>
    <row r="28" spans="1:33" x14ac:dyDescent="0.25">
      <c r="A28" s="25">
        <v>44957</v>
      </c>
      <c r="B28" s="26">
        <v>116.9482</v>
      </c>
      <c r="C28" s="28">
        <f t="shared" si="7"/>
        <v>-3.24728455332981E-2</v>
      </c>
      <c r="D28" s="27">
        <v>29550.31</v>
      </c>
      <c r="E28" s="28">
        <f t="shared" si="8"/>
        <v>-3.3360331356022566E-2</v>
      </c>
      <c r="F28" s="27">
        <v>9435.77</v>
      </c>
      <c r="G28" s="28">
        <f t="shared" si="9"/>
        <v>-3.503947476069702E-2</v>
      </c>
      <c r="I28" s="25">
        <v>45322</v>
      </c>
      <c r="J28" s="26">
        <v>97.123199999999997</v>
      </c>
      <c r="K28" s="28">
        <f t="shared" si="11"/>
        <v>-7.3313198522085843E-3</v>
      </c>
      <c r="L28" s="27">
        <v>39427.279999999999</v>
      </c>
      <c r="M28" s="28">
        <f t="shared" si="12"/>
        <v>1.9176997219364944E-2</v>
      </c>
      <c r="N28" s="27">
        <v>9735.2000000000007</v>
      </c>
      <c r="O28" s="28">
        <f t="shared" si="1"/>
        <v>4.9857218037977491E-2</v>
      </c>
      <c r="Q28" s="25">
        <v>44104</v>
      </c>
      <c r="R28" s="26">
        <v>127.7098</v>
      </c>
      <c r="S28" s="28">
        <f t="shared" si="2"/>
        <v>1.854372981711494E-2</v>
      </c>
      <c r="T28" s="27">
        <v>17946.95</v>
      </c>
      <c r="U28" s="28">
        <f t="shared" si="3"/>
        <v>-2.1661400507396733E-3</v>
      </c>
      <c r="W28" s="29"/>
      <c r="X28" s="30"/>
      <c r="Y28" s="31"/>
      <c r="Z28" s="32"/>
      <c r="AA28" s="31"/>
      <c r="AC28" s="25">
        <v>44104</v>
      </c>
      <c r="AD28" s="26">
        <v>104.0583</v>
      </c>
      <c r="AE28" s="28">
        <f t="shared" si="10"/>
        <v>2.0713785452383782E-2</v>
      </c>
      <c r="AF28" s="27">
        <v>17946.95</v>
      </c>
      <c r="AG28" s="28">
        <f t="shared" si="6"/>
        <v>-2.1661400507396733E-3</v>
      </c>
    </row>
    <row r="29" spans="1:33" x14ac:dyDescent="0.25">
      <c r="A29" s="25">
        <v>44985</v>
      </c>
      <c r="B29" s="26">
        <v>114.5483</v>
      </c>
      <c r="C29" s="28">
        <f t="shared" si="7"/>
        <v>-2.0521051200446006E-2</v>
      </c>
      <c r="D29" s="27">
        <v>28738.22</v>
      </c>
      <c r="E29" s="28">
        <f t="shared" si="8"/>
        <v>-2.7481606791942337E-2</v>
      </c>
      <c r="F29" s="27">
        <v>9172.9</v>
      </c>
      <c r="G29" s="28">
        <f t="shared" si="9"/>
        <v>-2.7858881681092407E-2</v>
      </c>
      <c r="I29" s="25">
        <v>45351</v>
      </c>
      <c r="J29" s="26">
        <v>100.61750000000001</v>
      </c>
      <c r="K29" s="28">
        <f t="shared" si="11"/>
        <v>3.5978015551382247E-2</v>
      </c>
      <c r="L29" s="27">
        <v>40081.339999999997</v>
      </c>
      <c r="M29" s="28">
        <f t="shared" si="12"/>
        <v>1.6589021611432386E-2</v>
      </c>
      <c r="N29" s="27">
        <v>9914.73</v>
      </c>
      <c r="O29" s="28">
        <f t="shared" si="1"/>
        <v>1.8441326320979501E-2</v>
      </c>
      <c r="Q29" s="25">
        <v>44134</v>
      </c>
      <c r="R29" s="26">
        <v>132.1592</v>
      </c>
      <c r="S29" s="28">
        <f t="shared" si="2"/>
        <v>3.4839926145056932E-2</v>
      </c>
      <c r="T29" s="27">
        <v>18414.43</v>
      </c>
      <c r="U29" s="28">
        <f t="shared" si="3"/>
        <v>2.6047880001894397E-2</v>
      </c>
      <c r="W29" s="29"/>
      <c r="X29" s="30"/>
      <c r="Y29" s="31"/>
      <c r="Z29" s="32"/>
      <c r="AA29" s="31"/>
      <c r="AC29" s="25">
        <v>44134</v>
      </c>
      <c r="AD29" s="26">
        <v>107.79770000000001</v>
      </c>
      <c r="AE29" s="28">
        <f t="shared" si="10"/>
        <v>3.5935624548930845E-2</v>
      </c>
      <c r="AF29" s="27">
        <v>18414.43</v>
      </c>
      <c r="AG29" s="28">
        <f t="shared" si="6"/>
        <v>2.6047880001894397E-2</v>
      </c>
    </row>
    <row r="30" spans="1:33" x14ac:dyDescent="0.25">
      <c r="A30" s="25">
        <v>45016</v>
      </c>
      <c r="B30" s="26">
        <v>114.4567</v>
      </c>
      <c r="C30" s="28">
        <f t="shared" si="7"/>
        <v>-7.9966267504627542E-4</v>
      </c>
      <c r="D30" s="27">
        <v>28840.63</v>
      </c>
      <c r="E30" s="28">
        <f t="shared" si="8"/>
        <v>3.5635470812040992E-3</v>
      </c>
      <c r="F30" s="27">
        <v>9223.0400000000009</v>
      </c>
      <c r="G30" s="28">
        <f t="shared" si="9"/>
        <v>5.4661012329799696E-3</v>
      </c>
      <c r="I30" s="25">
        <v>45382</v>
      </c>
      <c r="J30" s="26">
        <v>100.3271</v>
      </c>
      <c r="K30" s="28">
        <f t="shared" si="11"/>
        <v>-2.8861778517653702E-3</v>
      </c>
      <c r="L30" s="27">
        <v>40424.15</v>
      </c>
      <c r="M30" s="28">
        <f t="shared" si="12"/>
        <v>8.552857763737487E-3</v>
      </c>
      <c r="N30" s="27">
        <v>9810.89</v>
      </c>
      <c r="O30" s="28">
        <f t="shared" si="1"/>
        <v>-1.0473305879232231E-2</v>
      </c>
      <c r="Q30" s="25">
        <v>44165</v>
      </c>
      <c r="R30" s="26">
        <v>147.59729999999999</v>
      </c>
      <c r="S30" s="28">
        <f t="shared" si="2"/>
        <v>0.11681441776281942</v>
      </c>
      <c r="T30" s="27">
        <v>20582.88</v>
      </c>
      <c r="U30" s="28">
        <f t="shared" si="3"/>
        <v>0.11775819289546297</v>
      </c>
      <c r="W30" s="29"/>
      <c r="X30" s="30"/>
      <c r="Y30" s="31"/>
      <c r="Z30" s="32"/>
      <c r="AA30" s="31"/>
      <c r="AC30" s="25">
        <v>44165</v>
      </c>
      <c r="AD30" s="26">
        <v>120.40900000000001</v>
      </c>
      <c r="AE30" s="28">
        <f t="shared" si="10"/>
        <v>0.11699043671618226</v>
      </c>
      <c r="AF30" s="27">
        <v>20582.88</v>
      </c>
      <c r="AG30" s="28">
        <f t="shared" si="6"/>
        <v>0.11775819289546297</v>
      </c>
    </row>
    <row r="31" spans="1:33" x14ac:dyDescent="0.25">
      <c r="A31" s="25">
        <v>45046</v>
      </c>
      <c r="B31" s="26">
        <v>120.122</v>
      </c>
      <c r="C31" s="28">
        <f t="shared" si="7"/>
        <v>4.949732082088687E-2</v>
      </c>
      <c r="D31" s="27">
        <v>30163.3</v>
      </c>
      <c r="E31" s="28">
        <f t="shared" si="8"/>
        <v>4.5861342141277683E-2</v>
      </c>
      <c r="F31" s="27">
        <v>9628.7900000000009</v>
      </c>
      <c r="G31" s="28">
        <f t="shared" si="9"/>
        <v>4.3993086878079346E-2</v>
      </c>
      <c r="I31" s="25">
        <v>45412</v>
      </c>
      <c r="J31" s="26">
        <v>101.4662</v>
      </c>
      <c r="K31" s="28">
        <f t="shared" si="11"/>
        <v>1.1353861518971442E-2</v>
      </c>
      <c r="L31" s="27">
        <v>41813.89</v>
      </c>
      <c r="M31" s="28">
        <f t="shared" si="12"/>
        <v>3.4378954164775211E-2</v>
      </c>
      <c r="N31" s="27">
        <v>9812.7800000000007</v>
      </c>
      <c r="O31" s="28">
        <f t="shared" si="1"/>
        <v>1.9264307315669527E-4</v>
      </c>
      <c r="Q31" s="25">
        <v>44196</v>
      </c>
      <c r="R31" s="26">
        <v>159.51949999999999</v>
      </c>
      <c r="S31" s="28">
        <f t="shared" si="2"/>
        <v>8.0775190332072588E-2</v>
      </c>
      <c r="T31" s="27">
        <v>22167.65</v>
      </c>
      <c r="U31" s="28">
        <f t="shared" si="3"/>
        <v>7.6994570244786065E-2</v>
      </c>
      <c r="W31" s="29"/>
      <c r="X31" s="30"/>
      <c r="Y31" s="31"/>
      <c r="Z31" s="32"/>
      <c r="AA31" s="31"/>
      <c r="AC31" s="25">
        <v>44196</v>
      </c>
      <c r="AD31" s="26">
        <v>128.89089999999999</v>
      </c>
      <c r="AE31" s="28">
        <f t="shared" si="10"/>
        <v>7.0442408790040378E-2</v>
      </c>
      <c r="AF31" s="27">
        <v>22167.65</v>
      </c>
      <c r="AG31" s="28">
        <f t="shared" si="6"/>
        <v>7.6994570244786065E-2</v>
      </c>
    </row>
    <row r="32" spans="1:33" x14ac:dyDescent="0.25">
      <c r="A32" s="25">
        <v>45077</v>
      </c>
      <c r="B32" s="26">
        <v>125.461</v>
      </c>
      <c r="C32" s="28">
        <f t="shared" si="7"/>
        <v>4.4446479412597162E-2</v>
      </c>
      <c r="D32" s="27">
        <v>31302.01</v>
      </c>
      <c r="E32" s="28">
        <f t="shared" si="8"/>
        <v>3.7751505969174426E-2</v>
      </c>
      <c r="F32" s="27">
        <v>9982.7099999999991</v>
      </c>
      <c r="G32" s="28">
        <f t="shared" si="9"/>
        <v>3.6756435647677277E-2</v>
      </c>
      <c r="I32" s="25">
        <v>45443</v>
      </c>
      <c r="J32" s="26">
        <v>98.937299999999993</v>
      </c>
      <c r="K32" s="28">
        <f t="shared" si="11"/>
        <v>-2.4923570607749301E-2</v>
      </c>
      <c r="L32" s="27">
        <v>42163.02</v>
      </c>
      <c r="M32" s="28">
        <f t="shared" si="12"/>
        <v>8.3496177944697436E-3</v>
      </c>
      <c r="N32" s="27">
        <v>9634.48</v>
      </c>
      <c r="O32" s="28">
        <f t="shared" si="1"/>
        <v>-1.8170182150216485E-2</v>
      </c>
      <c r="Q32" s="25">
        <v>44227</v>
      </c>
      <c r="R32" s="26">
        <v>154.547</v>
      </c>
      <c r="S32" s="28">
        <f t="shared" si="2"/>
        <v>-3.1171737624553719E-2</v>
      </c>
      <c r="T32" s="27">
        <v>21780.03</v>
      </c>
      <c r="U32" s="28">
        <f t="shared" si="3"/>
        <v>-1.7485840853676549E-2</v>
      </c>
      <c r="W32" s="29"/>
      <c r="X32" s="30"/>
      <c r="Y32" s="31"/>
      <c r="Z32" s="32"/>
      <c r="AA32" s="31"/>
      <c r="AC32" s="25">
        <v>44227</v>
      </c>
      <c r="AD32" s="26">
        <v>122.6478</v>
      </c>
      <c r="AE32" s="28">
        <f t="shared" si="10"/>
        <v>-4.8437089041972636E-2</v>
      </c>
      <c r="AF32" s="27">
        <v>21780.03</v>
      </c>
      <c r="AG32" s="28">
        <f t="shared" si="6"/>
        <v>-1.7485840853676549E-2</v>
      </c>
    </row>
    <row r="33" spans="1:33" x14ac:dyDescent="0.25">
      <c r="A33" s="25">
        <v>45107</v>
      </c>
      <c r="B33" s="26">
        <v>130.4376</v>
      </c>
      <c r="C33" s="28">
        <f t="shared" si="7"/>
        <v>3.9666509911446601E-2</v>
      </c>
      <c r="D33" s="27">
        <v>32641.79</v>
      </c>
      <c r="E33" s="28">
        <f t="shared" si="8"/>
        <v>4.280172423432238E-2</v>
      </c>
      <c r="F33" s="27">
        <v>10384.41</v>
      </c>
      <c r="G33" s="28">
        <f t="shared" si="9"/>
        <v>4.0239574223833063E-2</v>
      </c>
      <c r="I33" s="25">
        <v>45473</v>
      </c>
      <c r="J33" s="26">
        <v>108.28149999999999</v>
      </c>
      <c r="K33" s="28">
        <f t="shared" si="11"/>
        <v>9.4445674179505668E-2</v>
      </c>
      <c r="L33" s="27">
        <v>45136.916599999997</v>
      </c>
      <c r="M33" s="28">
        <f t="shared" si="12"/>
        <v>7.0533291970072298E-2</v>
      </c>
      <c r="N33" s="27">
        <v>10673.13</v>
      </c>
      <c r="O33" s="28">
        <f t="shared" si="1"/>
        <v>0.10780550688776147</v>
      </c>
      <c r="Q33" s="25">
        <v>44255</v>
      </c>
      <c r="R33" s="26">
        <v>163.84100000000001</v>
      </c>
      <c r="S33" s="28">
        <f t="shared" si="2"/>
        <v>6.0137045688366753E-2</v>
      </c>
      <c r="T33" s="27">
        <v>23507.93</v>
      </c>
      <c r="U33" s="28">
        <f t="shared" si="3"/>
        <v>7.9334142331300761E-2</v>
      </c>
      <c r="W33" s="29"/>
      <c r="X33" s="30"/>
      <c r="Y33" s="31"/>
      <c r="Z33" s="32"/>
      <c r="AA33" s="31"/>
      <c r="AC33" s="25">
        <v>44255</v>
      </c>
      <c r="AD33" s="26">
        <v>125.82250000000001</v>
      </c>
      <c r="AE33" s="28">
        <f t="shared" si="10"/>
        <v>2.5884687699249342E-2</v>
      </c>
      <c r="AF33" s="27">
        <v>23507.93</v>
      </c>
      <c r="AG33" s="28">
        <f t="shared" si="6"/>
        <v>7.9334142331300761E-2</v>
      </c>
    </row>
    <row r="34" spans="1:33" x14ac:dyDescent="0.25">
      <c r="A34" s="25">
        <v>45138</v>
      </c>
      <c r="B34" s="26">
        <v>133.1404</v>
      </c>
      <c r="C34" s="28">
        <f t="shared" si="7"/>
        <v>2.0721019092654336E-2</v>
      </c>
      <c r="D34" s="27">
        <v>33930.400000000001</v>
      </c>
      <c r="E34" s="28">
        <f t="shared" si="8"/>
        <v>3.9477308076548479E-2</v>
      </c>
      <c r="F34" s="27">
        <v>10754.74</v>
      </c>
      <c r="G34" s="28">
        <f t="shared" si="9"/>
        <v>3.5662112724748063E-2</v>
      </c>
      <c r="I34" s="25">
        <v>45504</v>
      </c>
      <c r="J34" s="26">
        <v>113.47929999999999</v>
      </c>
      <c r="K34" s="28">
        <f t="shared" si="11"/>
        <v>4.8002659734118991E-2</v>
      </c>
      <c r="L34" s="27">
        <v>47142.929100000001</v>
      </c>
      <c r="M34" s="28">
        <f t="shared" si="12"/>
        <v>4.4442834183316959E-2</v>
      </c>
      <c r="N34" s="27">
        <v>11545.87</v>
      </c>
      <c r="O34" s="28">
        <f t="shared" si="1"/>
        <v>8.1769827595091771E-2</v>
      </c>
      <c r="Q34" s="25">
        <v>44286</v>
      </c>
      <c r="R34" s="26">
        <v>170.06030000000001</v>
      </c>
      <c r="S34" s="28">
        <f t="shared" si="2"/>
        <v>3.7959363040997118E-2</v>
      </c>
      <c r="T34" s="27">
        <v>23806.799999999999</v>
      </c>
      <c r="U34" s="28">
        <f t="shared" si="3"/>
        <v>1.2713582182693139E-2</v>
      </c>
      <c r="W34" s="29"/>
      <c r="X34" s="30"/>
      <c r="Y34" s="31"/>
      <c r="Z34" s="32"/>
      <c r="AA34" s="31"/>
      <c r="AC34" s="25">
        <v>44286</v>
      </c>
      <c r="AD34" s="26">
        <v>129.92089999999999</v>
      </c>
      <c r="AE34" s="28">
        <f t="shared" si="10"/>
        <v>3.2572870512030727E-2</v>
      </c>
      <c r="AF34" s="27">
        <v>23806.799999999999</v>
      </c>
      <c r="AG34" s="28">
        <f t="shared" si="6"/>
        <v>1.2713582182693139E-2</v>
      </c>
    </row>
    <row r="35" spans="1:33" x14ac:dyDescent="0.25">
      <c r="A35" s="25">
        <v>45169</v>
      </c>
      <c r="B35" s="26">
        <v>132.3612</v>
      </c>
      <c r="C35" s="28">
        <f t="shared" si="7"/>
        <v>-5.8524685219513151E-3</v>
      </c>
      <c r="D35" s="27">
        <v>33722.379999999997</v>
      </c>
      <c r="E35" s="28">
        <f t="shared" si="8"/>
        <v>-6.1307853724095196E-3</v>
      </c>
      <c r="F35" s="27">
        <v>10617.31</v>
      </c>
      <c r="G35" s="28">
        <f t="shared" si="9"/>
        <v>-1.2778551596784316E-2</v>
      </c>
      <c r="I35" s="25">
        <v>45535</v>
      </c>
      <c r="J35" s="26">
        <v>116.80410000000001</v>
      </c>
      <c r="K35" s="28">
        <f t="shared" si="11"/>
        <v>2.929873554031448E-2</v>
      </c>
      <c r="L35" s="27">
        <v>47595.045899999997</v>
      </c>
      <c r="M35" s="28">
        <f t="shared" si="12"/>
        <v>9.5903417252873879E-3</v>
      </c>
      <c r="N35" s="27">
        <v>12255.75</v>
      </c>
      <c r="O35" s="28">
        <f t="shared" si="1"/>
        <v>6.1483456855135232E-2</v>
      </c>
      <c r="Q35" s="25">
        <v>44316</v>
      </c>
      <c r="R35" s="26">
        <v>172.9777</v>
      </c>
      <c r="S35" s="28">
        <f t="shared" si="2"/>
        <v>1.7155091458735505E-2</v>
      </c>
      <c r="T35" s="27">
        <v>23919.82</v>
      </c>
      <c r="U35" s="28">
        <f t="shared" si="3"/>
        <v>4.7473831006268341E-3</v>
      </c>
      <c r="W35" s="29"/>
      <c r="X35" s="30"/>
      <c r="Y35" s="31"/>
      <c r="Z35" s="32"/>
      <c r="AA35" s="31"/>
      <c r="AC35" s="25">
        <v>44316</v>
      </c>
      <c r="AD35" s="26">
        <v>132.08789999999999</v>
      </c>
      <c r="AE35" s="28">
        <f t="shared" si="10"/>
        <v>1.6679379530160299E-2</v>
      </c>
      <c r="AF35" s="27">
        <v>23919.82</v>
      </c>
      <c r="AG35" s="28">
        <f t="shared" si="6"/>
        <v>4.7473831006268341E-3</v>
      </c>
    </row>
    <row r="36" spans="1:33" x14ac:dyDescent="0.25">
      <c r="A36" s="25">
        <v>45199</v>
      </c>
      <c r="B36" s="26">
        <v>132.76570000000001</v>
      </c>
      <c r="C36" s="28">
        <f t="shared" si="7"/>
        <v>3.0560315258552073E-3</v>
      </c>
      <c r="D36" s="27">
        <v>34432.78</v>
      </c>
      <c r="E36" s="28">
        <f t="shared" si="8"/>
        <v>2.1066128784504645E-2</v>
      </c>
      <c r="F36" s="27">
        <v>10849.18</v>
      </c>
      <c r="G36" s="28">
        <f t="shared" si="9"/>
        <v>2.1838865023249943E-2</v>
      </c>
      <c r="I36" s="25">
        <v>45565</v>
      </c>
      <c r="J36" s="26">
        <v>121.72499999999999</v>
      </c>
      <c r="K36" s="28">
        <f t="shared" si="11"/>
        <v>4.2129514289309888E-2</v>
      </c>
      <c r="L36" s="27">
        <v>48588.661399999997</v>
      </c>
      <c r="M36" s="28">
        <f t="shared" si="12"/>
        <v>2.0876447983423363E-2</v>
      </c>
      <c r="N36" s="27">
        <v>12147.07</v>
      </c>
      <c r="O36" s="28">
        <f t="shared" si="1"/>
        <v>-8.867674356934474E-3</v>
      </c>
      <c r="Q36" s="25">
        <v>44347</v>
      </c>
      <c r="R36" s="26">
        <v>183.7</v>
      </c>
      <c r="S36" s="28">
        <f t="shared" si="2"/>
        <v>6.1986602897367682E-2</v>
      </c>
      <c r="T36" s="27">
        <v>25611.58</v>
      </c>
      <c r="U36" s="28">
        <f t="shared" si="3"/>
        <v>7.0726284729567546E-2</v>
      </c>
      <c r="W36" s="29"/>
      <c r="X36" s="30"/>
      <c r="Y36" s="31"/>
      <c r="Z36" s="32"/>
      <c r="AA36" s="31"/>
      <c r="AC36" s="25">
        <v>44347</v>
      </c>
      <c r="AD36" s="26">
        <v>141.5325</v>
      </c>
      <c r="AE36" s="28">
        <f t="shared" si="10"/>
        <v>7.1502385911200061E-2</v>
      </c>
      <c r="AF36" s="27">
        <v>25611.58</v>
      </c>
      <c r="AG36" s="28">
        <f t="shared" si="6"/>
        <v>7.0726284729567546E-2</v>
      </c>
    </row>
    <row r="37" spans="1:33" x14ac:dyDescent="0.25">
      <c r="A37" s="25">
        <v>45230</v>
      </c>
      <c r="B37" s="26">
        <v>129.55279999999999</v>
      </c>
      <c r="C37" s="28">
        <f t="shared" si="7"/>
        <v>-2.4199774489947479E-2</v>
      </c>
      <c r="D37" s="27">
        <v>33447.78</v>
      </c>
      <c r="E37" s="28">
        <f t="shared" si="8"/>
        <v>-2.8606461633362112E-2</v>
      </c>
      <c r="F37" s="27">
        <v>10532.64</v>
      </c>
      <c r="G37" s="28">
        <f t="shared" si="9"/>
        <v>-2.9176398584962238E-2</v>
      </c>
      <c r="I37" s="25">
        <v>45596</v>
      </c>
      <c r="J37" s="26">
        <v>115.1486</v>
      </c>
      <c r="K37" s="28">
        <f t="shared" si="11"/>
        <v>-5.4026699527623734E-2</v>
      </c>
      <c r="L37" s="27">
        <v>45456.375999999997</v>
      </c>
      <c r="M37" s="28">
        <f t="shared" si="12"/>
        <v>-6.4465356932018714E-2</v>
      </c>
      <c r="N37" s="27">
        <v>11514.85</v>
      </c>
      <c r="O37" s="28">
        <f t="shared" si="1"/>
        <v>-5.2047119181827362E-2</v>
      </c>
      <c r="Q37" s="25">
        <v>44377</v>
      </c>
      <c r="R37" s="26">
        <v>190.91730000000001</v>
      </c>
      <c r="S37" s="28">
        <f t="shared" si="2"/>
        <v>3.9288513881328369E-2</v>
      </c>
      <c r="T37" s="27">
        <v>26155.759999999998</v>
      </c>
      <c r="U37" s="28">
        <f t="shared" si="3"/>
        <v>2.1247420112308513E-2</v>
      </c>
      <c r="W37" s="29"/>
      <c r="X37" s="30"/>
      <c r="Y37" s="31"/>
      <c r="Z37" s="32"/>
      <c r="AA37" s="31"/>
      <c r="AC37" s="25">
        <v>44377</v>
      </c>
      <c r="AD37" s="26">
        <v>147.69540000000001</v>
      </c>
      <c r="AE37" s="28">
        <f t="shared" si="10"/>
        <v>4.3544062317842247E-2</v>
      </c>
      <c r="AF37" s="27">
        <v>26155.759999999998</v>
      </c>
      <c r="AG37" s="28">
        <f t="shared" si="6"/>
        <v>2.1247420112308513E-2</v>
      </c>
    </row>
    <row r="38" spans="1:33" x14ac:dyDescent="0.25">
      <c r="A38" s="25">
        <v>45260</v>
      </c>
      <c r="B38" s="26">
        <v>136.86709999999999</v>
      </c>
      <c r="C38" s="28">
        <f t="shared" si="7"/>
        <v>5.6458061886736521E-2</v>
      </c>
      <c r="D38" s="27">
        <v>35808.42</v>
      </c>
      <c r="E38" s="28">
        <f t="shared" si="8"/>
        <v>7.0576881335622232E-2</v>
      </c>
      <c r="F38" s="27">
        <v>11242.48</v>
      </c>
      <c r="G38" s="28">
        <f t="shared" si="9"/>
        <v>6.7394309498853167E-2</v>
      </c>
      <c r="I38" s="25">
        <v>45626</v>
      </c>
      <c r="J38" s="26">
        <v>119.2912</v>
      </c>
      <c r="K38" s="28">
        <f t="shared" si="11"/>
        <v>3.5976121290228535E-2</v>
      </c>
      <c r="L38" s="27">
        <v>45481.603499999997</v>
      </c>
      <c r="M38" s="28">
        <f t="shared" si="12"/>
        <v>5.5498264973885547E-4</v>
      </c>
      <c r="N38" s="27">
        <v>12245.65</v>
      </c>
      <c r="O38" s="28">
        <f t="shared" si="1"/>
        <v>6.3465872330078055E-2</v>
      </c>
      <c r="Q38" s="25">
        <v>44408</v>
      </c>
      <c r="R38" s="26">
        <v>197.79679999999999</v>
      </c>
      <c r="S38" s="28">
        <f t="shared" si="2"/>
        <v>3.6033926731626531E-2</v>
      </c>
      <c r="T38" s="27">
        <v>26554.51</v>
      </c>
      <c r="U38" s="28">
        <f t="shared" si="3"/>
        <v>1.5245207938901384E-2</v>
      </c>
      <c r="W38" s="29"/>
      <c r="X38" s="30"/>
      <c r="Y38" s="31"/>
      <c r="Z38" s="32"/>
      <c r="AA38" s="31"/>
      <c r="AC38" s="25">
        <v>44408</v>
      </c>
      <c r="AD38" s="26">
        <v>151.53569999999999</v>
      </c>
      <c r="AE38" s="28">
        <f t="shared" si="10"/>
        <v>2.6001486843869159E-2</v>
      </c>
      <c r="AF38" s="27">
        <v>26554.51</v>
      </c>
      <c r="AG38" s="28">
        <f t="shared" si="6"/>
        <v>1.5245207938901384E-2</v>
      </c>
    </row>
    <row r="39" spans="1:33" x14ac:dyDescent="0.25">
      <c r="A39" s="25">
        <v>45291</v>
      </c>
      <c r="B39" s="26">
        <v>144.58150000000001</v>
      </c>
      <c r="C39" s="28">
        <f t="shared" si="7"/>
        <v>5.6364166406682292E-2</v>
      </c>
      <c r="D39" s="27">
        <v>38685.410000000003</v>
      </c>
      <c r="E39" s="28">
        <f t="shared" si="8"/>
        <v>8.0343952623433301E-2</v>
      </c>
      <c r="F39" s="27">
        <v>12172.35</v>
      </c>
      <c r="G39" s="28">
        <f t="shared" si="9"/>
        <v>8.2710398417431108E-2</v>
      </c>
      <c r="I39" s="25">
        <v>45657</v>
      </c>
      <c r="J39" s="26">
        <v>121.2658</v>
      </c>
      <c r="K39" s="28">
        <f t="shared" si="11"/>
        <v>1.6552771704870128E-2</v>
      </c>
      <c r="L39" s="27">
        <v>44801.510300000002</v>
      </c>
      <c r="M39" s="28">
        <f t="shared" si="12"/>
        <v>-1.4953149134242727E-2</v>
      </c>
      <c r="N39" s="27">
        <v>12477.53</v>
      </c>
      <c r="O39" s="28">
        <f t="shared" si="1"/>
        <v>1.8935703698864659E-2</v>
      </c>
      <c r="Q39" s="25">
        <v>44439</v>
      </c>
      <c r="R39" s="26">
        <v>208.1644</v>
      </c>
      <c r="S39" s="28">
        <f t="shared" si="2"/>
        <v>5.2415408136026631E-2</v>
      </c>
      <c r="T39" s="27">
        <v>28306.720000000001</v>
      </c>
      <c r="U39" s="28">
        <f>T39/T38-1</f>
        <v>6.5985401349902606E-2</v>
      </c>
      <c r="W39" s="29"/>
      <c r="X39" s="30"/>
      <c r="Y39" s="31"/>
      <c r="Z39" s="32"/>
      <c r="AA39" s="31"/>
      <c r="AC39" s="25">
        <v>44439</v>
      </c>
      <c r="AD39" s="26">
        <v>161.5958</v>
      </c>
      <c r="AE39" s="28">
        <f t="shared" si="10"/>
        <v>6.6387656506024628E-2</v>
      </c>
      <c r="AF39" s="27">
        <v>28306.720000000001</v>
      </c>
      <c r="AG39" s="28">
        <f>AF39/AF38-1</f>
        <v>6.5985401349902606E-2</v>
      </c>
    </row>
    <row r="40" spans="1:33" x14ac:dyDescent="0.25">
      <c r="A40" s="25">
        <v>45322</v>
      </c>
      <c r="B40" s="26">
        <v>143.4237</v>
      </c>
      <c r="C40" s="28">
        <f t="shared" si="7"/>
        <v>-8.0079401583190712E-3</v>
      </c>
      <c r="D40" s="27">
        <v>39427.279999999999</v>
      </c>
      <c r="E40" s="28">
        <f t="shared" si="8"/>
        <v>1.9176997219364944E-2</v>
      </c>
      <c r="F40" s="27">
        <v>12337.92</v>
      </c>
      <c r="G40" s="28">
        <f t="shared" si="9"/>
        <v>1.3602139274667469E-2</v>
      </c>
      <c r="I40" s="25">
        <v>45688</v>
      </c>
      <c r="J40" s="26">
        <v>112.83580000000001</v>
      </c>
      <c r="K40" s="28">
        <f t="shared" si="11"/>
        <v>-6.9516714522973477E-2</v>
      </c>
      <c r="L40" s="27">
        <v>43263.660799999998</v>
      </c>
      <c r="M40" s="28">
        <f t="shared" si="12"/>
        <v>-3.4325840573280919E-2</v>
      </c>
      <c r="N40" s="27">
        <v>11701.56</v>
      </c>
      <c r="O40" s="28">
        <f t="shared" si="1"/>
        <v>-6.2189391650430914E-2</v>
      </c>
      <c r="Q40" s="25">
        <v>44469</v>
      </c>
      <c r="R40" s="26">
        <v>210.96639999999999</v>
      </c>
      <c r="S40" s="28">
        <f t="shared" si="2"/>
        <v>1.3460514862291495E-2</v>
      </c>
      <c r="T40" s="27">
        <v>29270.57</v>
      </c>
      <c r="U40" s="28">
        <f t="shared" ref="U40:U70" si="13">T40/T39-1</f>
        <v>3.405021846402545E-2</v>
      </c>
      <c r="W40" s="29"/>
      <c r="X40" s="30"/>
      <c r="Y40" s="31"/>
      <c r="Z40" s="32"/>
      <c r="AA40" s="31"/>
      <c r="AC40" s="25">
        <v>44469</v>
      </c>
      <c r="AD40" s="26">
        <v>160.53190000000001</v>
      </c>
      <c r="AE40" s="28">
        <f t="shared" si="10"/>
        <v>-6.5837107152536545E-3</v>
      </c>
      <c r="AF40" s="27">
        <v>29270.57</v>
      </c>
      <c r="AG40" s="28">
        <f t="shared" ref="AG40:AG70" si="14">AF40/AF39-1</f>
        <v>3.405021846402545E-2</v>
      </c>
    </row>
    <row r="41" spans="1:33" x14ac:dyDescent="0.25">
      <c r="A41" s="25">
        <v>45351</v>
      </c>
      <c r="B41" s="26">
        <v>146.36670000000001</v>
      </c>
      <c r="C41" s="28">
        <f t="shared" si="7"/>
        <v>2.0519621234147634E-2</v>
      </c>
      <c r="D41" s="27">
        <v>40081.339999999997</v>
      </c>
      <c r="E41" s="28">
        <f t="shared" si="8"/>
        <v>1.6589021611432386E-2</v>
      </c>
      <c r="F41" s="27">
        <v>12593.18</v>
      </c>
      <c r="G41" s="28">
        <f t="shared" si="9"/>
        <v>2.0689062662101909E-2</v>
      </c>
      <c r="I41" s="25">
        <v>45716</v>
      </c>
      <c r="J41" s="26">
        <v>104.39230000000001</v>
      </c>
      <c r="K41" s="28">
        <f t="shared" si="11"/>
        <v>-7.4829974174862923E-2</v>
      </c>
      <c r="L41" s="27">
        <v>39915.286</v>
      </c>
      <c r="M41" s="28">
        <f t="shared" si="12"/>
        <v>-7.739462491347926E-2</v>
      </c>
      <c r="N41" s="27">
        <v>10401.19</v>
      </c>
      <c r="O41" s="28">
        <f t="shared" si="1"/>
        <v>-0.11112791798700339</v>
      </c>
      <c r="Q41" s="25">
        <v>44500</v>
      </c>
      <c r="R41" s="26">
        <v>211.4256</v>
      </c>
      <c r="S41" s="28">
        <f t="shared" si="2"/>
        <v>2.1766499309843201E-3</v>
      </c>
      <c r="T41" s="27">
        <v>29359.68</v>
      </c>
      <c r="U41" s="28">
        <f t="shared" si="13"/>
        <v>3.0443547904943635E-3</v>
      </c>
      <c r="W41" s="29"/>
      <c r="X41" s="30"/>
      <c r="Y41" s="31"/>
      <c r="Z41" s="32"/>
      <c r="AA41" s="31"/>
      <c r="AC41" s="25">
        <v>44500</v>
      </c>
      <c r="AD41" s="26">
        <v>158.69550000000001</v>
      </c>
      <c r="AE41" s="28">
        <f t="shared" si="10"/>
        <v>-1.1439470908897187E-2</v>
      </c>
      <c r="AF41" s="27">
        <v>29359.68</v>
      </c>
      <c r="AG41" s="28">
        <f t="shared" si="14"/>
        <v>3.0443547904943635E-3</v>
      </c>
    </row>
    <row r="42" spans="1:33" x14ac:dyDescent="0.25">
      <c r="A42" s="25">
        <v>45382</v>
      </c>
      <c r="B42" s="26">
        <v>148.4939</v>
      </c>
      <c r="C42" s="28">
        <f t="shared" si="7"/>
        <v>1.4533360388667482E-2</v>
      </c>
      <c r="D42" s="27">
        <v>40424.15</v>
      </c>
      <c r="E42" s="28">
        <f t="shared" si="8"/>
        <v>8.552857763737487E-3</v>
      </c>
      <c r="F42" s="27">
        <v>12777.71</v>
      </c>
      <c r="G42" s="28">
        <f t="shared" si="9"/>
        <v>1.4653169413920697E-2</v>
      </c>
      <c r="I42" s="25">
        <v>45747</v>
      </c>
      <c r="J42" s="26">
        <v>111.06296797000002</v>
      </c>
      <c r="K42" s="28">
        <v>6.3900000000000068E-2</v>
      </c>
      <c r="L42" s="27">
        <v>42835.208500000001</v>
      </c>
      <c r="M42" s="28">
        <v>7.3152989558937342E-2</v>
      </c>
      <c r="N42" s="27">
        <v>10640.1</v>
      </c>
      <c r="O42" s="28">
        <v>2.2969487145220846E-2</v>
      </c>
      <c r="Q42" s="25">
        <v>44530</v>
      </c>
      <c r="R42" s="26">
        <v>207.8237</v>
      </c>
      <c r="S42" s="28">
        <f t="shared" si="2"/>
        <v>-1.7036252941933228E-2</v>
      </c>
      <c r="T42" s="27">
        <v>28507.17</v>
      </c>
      <c r="U42" s="28">
        <f t="shared" si="13"/>
        <v>-2.9036760618644464E-2</v>
      </c>
      <c r="W42" s="29"/>
      <c r="X42" s="30"/>
      <c r="Y42" s="31"/>
      <c r="Z42" s="32"/>
      <c r="AA42" s="31"/>
      <c r="AC42" s="25">
        <v>44530</v>
      </c>
      <c r="AD42" s="26">
        <v>157.1677</v>
      </c>
      <c r="AE42" s="28">
        <f t="shared" si="10"/>
        <v>-9.6272421083144488E-3</v>
      </c>
      <c r="AF42" s="27">
        <v>28507.17</v>
      </c>
      <c r="AG42" s="28">
        <f t="shared" si="14"/>
        <v>-2.9036760618644464E-2</v>
      </c>
    </row>
    <row r="43" spans="1:33" x14ac:dyDescent="0.25">
      <c r="A43" s="25">
        <v>45412</v>
      </c>
      <c r="B43" s="26">
        <v>151.28980000000001</v>
      </c>
      <c r="C43" s="26">
        <f t="shared" si="7"/>
        <v>1.8828382849396696E-2</v>
      </c>
      <c r="D43" s="27">
        <v>41813.89</v>
      </c>
      <c r="E43" s="28">
        <f t="shared" si="8"/>
        <v>3.4378954164775211E-2</v>
      </c>
      <c r="F43" s="27">
        <v>13119.32</v>
      </c>
      <c r="G43" s="28">
        <f t="shared" si="9"/>
        <v>2.6734837463050942E-2</v>
      </c>
      <c r="I43" s="25">
        <v>45777</v>
      </c>
      <c r="J43" s="26">
        <v>113.52419999999999</v>
      </c>
      <c r="K43" s="28">
        <v>2.2160690237134739E-2</v>
      </c>
      <c r="L43" s="27">
        <v>44195.9715</v>
      </c>
      <c r="M43" s="28">
        <v>3.1767395272512822E-2</v>
      </c>
      <c r="N43" s="27">
        <v>10850.19</v>
      </c>
      <c r="O43" s="28">
        <v>1.9745115177489003E-2</v>
      </c>
      <c r="Q43" s="25">
        <v>44561</v>
      </c>
      <c r="R43" s="26">
        <v>214.45750000000001</v>
      </c>
      <c r="S43" s="28">
        <f t="shared" si="2"/>
        <v>3.1920324775278397E-2</v>
      </c>
      <c r="T43" s="27">
        <v>29179.68</v>
      </c>
      <c r="U43" s="28">
        <f t="shared" si="13"/>
        <v>2.3590907129680039E-2</v>
      </c>
      <c r="W43" s="29"/>
      <c r="X43" s="30"/>
      <c r="Y43" s="31"/>
      <c r="Z43" s="32"/>
      <c r="AA43" s="31"/>
      <c r="AC43" s="25">
        <v>44561</v>
      </c>
      <c r="AD43" s="26">
        <v>161.8663</v>
      </c>
      <c r="AE43" s="28">
        <f t="shared" si="10"/>
        <v>2.9895455618425437E-2</v>
      </c>
      <c r="AF43" s="27">
        <v>29179.68</v>
      </c>
      <c r="AG43" s="28">
        <f t="shared" si="14"/>
        <v>2.3590907129680039E-2</v>
      </c>
    </row>
    <row r="44" spans="1:33" x14ac:dyDescent="0.25">
      <c r="A44" s="25">
        <v>45443</v>
      </c>
      <c r="B44" s="26">
        <v>153.8116</v>
      </c>
      <c r="C44" s="28">
        <f t="shared" si="7"/>
        <v>1.6668671648716549E-2</v>
      </c>
      <c r="D44" s="27">
        <v>42163.02</v>
      </c>
      <c r="E44" s="28">
        <f t="shared" si="8"/>
        <v>8.3496177944697436E-3</v>
      </c>
      <c r="F44" s="27">
        <v>13232.74</v>
      </c>
      <c r="G44" s="28">
        <f t="shared" si="9"/>
        <v>8.6452651509376643E-3</v>
      </c>
      <c r="I44" s="25">
        <v>45808</v>
      </c>
      <c r="J44" s="26">
        <v>119.24290000000001</v>
      </c>
      <c r="K44" s="28">
        <v>5.0374281430743517E-2</v>
      </c>
      <c r="L44" s="27">
        <v>45761.725299999998</v>
      </c>
      <c r="M44" s="28">
        <v>3.5427523071870803E-2</v>
      </c>
      <c r="N44" s="27">
        <v>11303.29</v>
      </c>
      <c r="O44" s="28">
        <v>4.1759637388838478E-2</v>
      </c>
      <c r="Q44" s="25">
        <v>44592</v>
      </c>
      <c r="R44" s="26">
        <v>206.37020000000001</v>
      </c>
      <c r="S44" s="28">
        <f t="shared" si="2"/>
        <v>-3.771050208083182E-2</v>
      </c>
      <c r="T44" s="27">
        <v>29069.01</v>
      </c>
      <c r="U44" s="28">
        <f t="shared" si="13"/>
        <v>-3.7927078021418037E-3</v>
      </c>
      <c r="W44" s="29"/>
      <c r="X44" s="30"/>
      <c r="Y44" s="31"/>
      <c r="Z44" s="32"/>
      <c r="AA44" s="31"/>
      <c r="AC44" s="25">
        <v>44592</v>
      </c>
      <c r="AD44" s="26">
        <v>156.29949999999999</v>
      </c>
      <c r="AE44" s="28">
        <f t="shared" si="10"/>
        <v>-3.4391346438387704E-2</v>
      </c>
      <c r="AF44" s="27">
        <v>29069.01</v>
      </c>
      <c r="AG44" s="28">
        <f t="shared" si="14"/>
        <v>-3.7927078021418037E-3</v>
      </c>
    </row>
    <row r="45" spans="1:33" x14ac:dyDescent="0.25">
      <c r="A45" s="25">
        <v>45473</v>
      </c>
      <c r="B45" s="26">
        <v>164.18700000000001</v>
      </c>
      <c r="C45" s="28">
        <f t="shared" si="7"/>
        <v>6.7455250449250936E-2</v>
      </c>
      <c r="D45" s="27">
        <v>45136.916599999997</v>
      </c>
      <c r="E45" s="28">
        <f t="shared" si="8"/>
        <v>7.0533291970072298E-2</v>
      </c>
      <c r="F45" s="27">
        <v>14114.594800000001</v>
      </c>
      <c r="G45" s="28">
        <f t="shared" si="9"/>
        <v>6.6641889737121707E-2</v>
      </c>
      <c r="I45" s="25">
        <v>45838</v>
      </c>
      <c r="J45" s="26">
        <v>124.21339999999999</v>
      </c>
      <c r="K45" s="28">
        <v>4.1683823523245289E-2</v>
      </c>
      <c r="L45" s="27">
        <v>47447.448100000001</v>
      </c>
      <c r="M45" s="28">
        <v>3.6836959029602045E-2</v>
      </c>
      <c r="N45" s="27">
        <v>11931.69</v>
      </c>
      <c r="O45" s="28">
        <v>5.559443312522272E-2</v>
      </c>
      <c r="Q45" s="25">
        <v>44620</v>
      </c>
      <c r="R45" s="26">
        <v>197.5282</v>
      </c>
      <c r="S45" s="28">
        <f t="shared" si="2"/>
        <v>-4.2845333289399434E-2</v>
      </c>
      <c r="T45" s="27">
        <v>27923.279999999999</v>
      </c>
      <c r="U45" s="28">
        <f t="shared" si="13"/>
        <v>-3.9414138974805168E-2</v>
      </c>
      <c r="W45" s="29"/>
      <c r="X45" s="30"/>
      <c r="Y45" s="31"/>
      <c r="Z45" s="32"/>
      <c r="AA45" s="31"/>
      <c r="AC45" s="25">
        <v>44620</v>
      </c>
      <c r="AD45" s="26">
        <v>151.45099999999999</v>
      </c>
      <c r="AE45" s="28">
        <f t="shared" si="10"/>
        <v>-3.1020572682574188E-2</v>
      </c>
      <c r="AF45" s="27">
        <v>27923.279999999999</v>
      </c>
      <c r="AG45" s="28">
        <f t="shared" si="14"/>
        <v>-3.9414138974805168E-2</v>
      </c>
    </row>
    <row r="46" spans="1:33" x14ac:dyDescent="0.25">
      <c r="A46" s="25">
        <v>45504</v>
      </c>
      <c r="B46" s="26">
        <v>169.76750000000001</v>
      </c>
      <c r="C46" s="28">
        <f t="shared" si="7"/>
        <v>3.3988683635123307E-2</v>
      </c>
      <c r="D46" s="27">
        <v>47142.929100000001</v>
      </c>
      <c r="E46" s="28">
        <f t="shared" si="8"/>
        <v>4.4442834183316959E-2</v>
      </c>
      <c r="F46" s="27">
        <v>14733.187</v>
      </c>
      <c r="G46" s="28">
        <f t="shared" si="9"/>
        <v>4.3826422845663293E-2</v>
      </c>
      <c r="I46" s="25">
        <v>45869</v>
      </c>
      <c r="J46" s="26">
        <v>120.2774</v>
      </c>
      <c r="K46" s="28">
        <v>-3.1687402486366145E-2</v>
      </c>
      <c r="L46" s="27">
        <v>46160.076800000003</v>
      </c>
      <c r="M46" s="28">
        <v>-2.7132571962284247E-2</v>
      </c>
      <c r="N46" s="27">
        <v>11514.01</v>
      </c>
      <c r="O46" s="28">
        <v>-3.5005937968552669E-2</v>
      </c>
      <c r="Q46" s="25">
        <v>44651</v>
      </c>
      <c r="R46" s="26">
        <v>203.8629</v>
      </c>
      <c r="S46" s="28">
        <f t="shared" si="2"/>
        <v>3.2069851292119367E-2</v>
      </c>
      <c r="T46" s="27">
        <v>29106.07</v>
      </c>
      <c r="U46" s="28">
        <f t="shared" si="13"/>
        <v>4.2358562461143556E-2</v>
      </c>
      <c r="W46" s="29"/>
      <c r="X46" s="30"/>
      <c r="Y46" s="31"/>
      <c r="Z46" s="32"/>
      <c r="AA46" s="31"/>
      <c r="AC46" s="25">
        <v>44651</v>
      </c>
      <c r="AD46" s="26">
        <v>155.405</v>
      </c>
      <c r="AE46" s="28">
        <f t="shared" si="10"/>
        <v>2.6107453895979571E-2</v>
      </c>
      <c r="AF46" s="27">
        <v>29106.07</v>
      </c>
      <c r="AG46" s="28">
        <f t="shared" si="14"/>
        <v>4.2358562461143556E-2</v>
      </c>
    </row>
    <row r="47" spans="1:33" x14ac:dyDescent="0.25">
      <c r="A47" s="25">
        <v>45535</v>
      </c>
      <c r="B47" s="26">
        <v>172.7636</v>
      </c>
      <c r="C47" s="28">
        <f t="shared" si="7"/>
        <v>1.7648254230049787E-2</v>
      </c>
      <c r="D47" s="27">
        <v>47595.045899999997</v>
      </c>
      <c r="E47" s="28">
        <f t="shared" si="8"/>
        <v>9.5903417252873879E-3</v>
      </c>
      <c r="F47" s="27">
        <v>14889.1502</v>
      </c>
      <c r="G47" s="28">
        <f t="shared" si="9"/>
        <v>1.0585842696491987E-2</v>
      </c>
      <c r="I47" s="25">
        <v>45900</v>
      </c>
      <c r="J47" s="26">
        <v>119.5052</v>
      </c>
      <c r="K47" s="28">
        <v>-6.4201587330620091E-3</v>
      </c>
      <c r="L47" s="27">
        <v>45353.5432</v>
      </c>
      <c r="M47" s="28">
        <v>-1.7472535920910803E-2</v>
      </c>
      <c r="N47" s="27">
        <v>11484.97</v>
      </c>
      <c r="O47" s="28">
        <v>-2.5221447610346281E-3</v>
      </c>
      <c r="Q47" s="25">
        <v>44681</v>
      </c>
      <c r="R47" s="26">
        <v>197.85300000000001</v>
      </c>
      <c r="S47" s="28">
        <f t="shared" si="2"/>
        <v>-2.9480106483327662E-2</v>
      </c>
      <c r="T47" s="27">
        <v>28940.52</v>
      </c>
      <c r="U47" s="28">
        <f t="shared" si="13"/>
        <v>-5.6878170086170909E-3</v>
      </c>
      <c r="W47" s="29"/>
      <c r="X47" s="30"/>
      <c r="Y47" s="31"/>
      <c r="Z47" s="32"/>
      <c r="AA47" s="31"/>
      <c r="AC47" s="25">
        <v>44681</v>
      </c>
      <c r="AD47" s="26">
        <v>151.22059999999999</v>
      </c>
      <c r="AE47" s="28">
        <f t="shared" si="10"/>
        <v>-2.6925774588977269E-2</v>
      </c>
      <c r="AF47" s="27">
        <v>28940.52</v>
      </c>
      <c r="AG47" s="28">
        <f t="shared" si="14"/>
        <v>-5.6878170086170909E-3</v>
      </c>
    </row>
    <row r="48" spans="1:33" x14ac:dyDescent="0.25">
      <c r="A48" s="25">
        <v>45565</v>
      </c>
      <c r="B48" s="26">
        <v>178.63239999999999</v>
      </c>
      <c r="C48" s="28">
        <f t="shared" si="7"/>
        <v>3.3970118705560548E-2</v>
      </c>
      <c r="D48" s="27">
        <v>48588.661399999997</v>
      </c>
      <c r="E48" s="28">
        <f t="shared" si="8"/>
        <v>2.0876447983423363E-2</v>
      </c>
      <c r="F48" s="27">
        <v>15209.115299999999</v>
      </c>
      <c r="G48" s="28">
        <f t="shared" si="9"/>
        <v>2.1489816121271987E-2</v>
      </c>
      <c r="I48" s="25">
        <v>45930</v>
      </c>
      <c r="J48" s="26">
        <v>117.9456</v>
      </c>
      <c r="K48" s="28">
        <v>-1.3050478138189825E-2</v>
      </c>
      <c r="L48" s="27">
        <v>45914.575299999997</v>
      </c>
      <c r="M48" s="28">
        <v>1.2370193383259176E-2</v>
      </c>
      <c r="N48" s="27">
        <v>11276.89</v>
      </c>
      <c r="O48" s="28">
        <v>-1.8117591948433431E-2</v>
      </c>
      <c r="Q48" s="25">
        <v>44712</v>
      </c>
      <c r="R48" s="26">
        <v>186.96860000000001</v>
      </c>
      <c r="S48" s="28">
        <f t="shared" si="2"/>
        <v>-5.50125598297726E-2</v>
      </c>
      <c r="T48" s="27">
        <v>27737.17</v>
      </c>
      <c r="U48" s="28">
        <f t="shared" si="13"/>
        <v>-4.1580109825255507E-2</v>
      </c>
      <c r="W48" s="29"/>
      <c r="X48" s="30"/>
      <c r="Y48" s="31"/>
      <c r="Z48" s="32"/>
      <c r="AA48" s="31"/>
      <c r="AC48" s="25">
        <v>44712</v>
      </c>
      <c r="AD48" s="26">
        <v>143.96119999999999</v>
      </c>
      <c r="AE48" s="28">
        <f t="shared" si="10"/>
        <v>-4.8005364348508106E-2</v>
      </c>
      <c r="AF48" s="27">
        <v>27737.17</v>
      </c>
      <c r="AG48" s="28">
        <f t="shared" si="14"/>
        <v>-4.1580109825255507E-2</v>
      </c>
    </row>
    <row r="49" spans="1:33" x14ac:dyDescent="0.25">
      <c r="A49" s="25">
        <v>45596</v>
      </c>
      <c r="B49" s="26">
        <v>169.3657</v>
      </c>
      <c r="C49" s="28">
        <f t="shared" si="7"/>
        <v>-5.1875807524278783E-2</v>
      </c>
      <c r="D49" s="27">
        <v>45456.375999999997</v>
      </c>
      <c r="E49" s="28">
        <f t="shared" si="8"/>
        <v>-6.4465356932018714E-2</v>
      </c>
      <c r="F49" s="27">
        <v>14192.589900000001</v>
      </c>
      <c r="G49" s="28">
        <f t="shared" si="9"/>
        <v>-6.6836589765349341E-2</v>
      </c>
      <c r="I49" s="25">
        <v>45961</v>
      </c>
      <c r="J49" s="26">
        <v>124.38030000000001</v>
      </c>
      <c r="K49" s="28">
        <v>5.4556507406804622E-2</v>
      </c>
      <c r="L49" s="27">
        <v>47876.898500000003</v>
      </c>
      <c r="M49" s="28">
        <v>4.2738568029398794E-2</v>
      </c>
      <c r="N49" s="27">
        <v>12012.29</v>
      </c>
      <c r="O49" s="28">
        <v>6.5213015290563447E-2</v>
      </c>
      <c r="Q49" s="25">
        <v>44742</v>
      </c>
      <c r="R49" s="26">
        <v>176.238</v>
      </c>
      <c r="S49" s="28">
        <f t="shared" si="2"/>
        <v>-5.7392524734099837E-2</v>
      </c>
      <c r="T49" s="27">
        <v>26328.98</v>
      </c>
      <c r="U49" s="28">
        <f t="shared" si="13"/>
        <v>-5.0769058270905054E-2</v>
      </c>
      <c r="W49" s="29"/>
      <c r="X49" s="30"/>
      <c r="Y49" s="31"/>
      <c r="Z49" s="32"/>
      <c r="AA49" s="31"/>
      <c r="AC49" s="25">
        <v>44742</v>
      </c>
      <c r="AD49" s="26">
        <v>134.7227</v>
      </c>
      <c r="AE49" s="28">
        <f t="shared" si="10"/>
        <v>-6.4173541204157747E-2</v>
      </c>
      <c r="AF49" s="27">
        <v>26328.98</v>
      </c>
      <c r="AG49" s="28">
        <f t="shared" si="14"/>
        <v>-5.0769058270905054E-2</v>
      </c>
    </row>
    <row r="50" spans="1:33" x14ac:dyDescent="0.25">
      <c r="A50" s="25">
        <v>45626</v>
      </c>
      <c r="B50" s="26">
        <v>172.31299999999999</v>
      </c>
      <c r="C50" s="28">
        <f t="shared" si="7"/>
        <v>1.7401988714361716E-2</v>
      </c>
      <c r="D50" s="27">
        <v>45481.603499999997</v>
      </c>
      <c r="E50" s="28">
        <f t="shared" si="8"/>
        <v>5.5498264973885547E-4</v>
      </c>
      <c r="F50" s="27">
        <v>14208.497100000001</v>
      </c>
      <c r="G50" s="28">
        <f t="shared" si="9"/>
        <v>1.1208102335149572E-3</v>
      </c>
      <c r="I50" s="25">
        <v>45991</v>
      </c>
      <c r="J50" s="26">
        <v>124.2517</v>
      </c>
      <c r="K50" s="28">
        <v>-1.0339257904989907E-3</v>
      </c>
      <c r="L50" s="27">
        <v>48334.99</v>
      </c>
      <c r="M50" s="28">
        <v>9.5681114347871965E-3</v>
      </c>
      <c r="N50" s="27">
        <v>12246.68</v>
      </c>
      <c r="O50" s="28">
        <v>1.9512515931600083E-2</v>
      </c>
      <c r="Q50" s="25">
        <v>44773</v>
      </c>
      <c r="R50" s="26">
        <v>193.8485</v>
      </c>
      <c r="S50" s="28">
        <f t="shared" si="2"/>
        <v>9.9924533868972709E-2</v>
      </c>
      <c r="T50" s="27">
        <v>28897.919999999998</v>
      </c>
      <c r="U50" s="28">
        <f t="shared" si="13"/>
        <v>9.7570813605388329E-2</v>
      </c>
      <c r="W50" s="29"/>
      <c r="X50" s="30"/>
      <c r="Y50" s="31"/>
      <c r="Z50" s="32"/>
      <c r="AA50" s="31"/>
      <c r="AC50" s="25">
        <v>44773</v>
      </c>
      <c r="AD50" s="26">
        <v>149.30019999999999</v>
      </c>
      <c r="AE50" s="28">
        <f t="shared" si="10"/>
        <v>0.10820373997848898</v>
      </c>
      <c r="AF50" s="27">
        <v>28897.919999999998</v>
      </c>
      <c r="AG50" s="28">
        <f t="shared" si="14"/>
        <v>9.7570813605388329E-2</v>
      </c>
    </row>
    <row r="51" spans="1:33" x14ac:dyDescent="0.25">
      <c r="A51" s="25">
        <v>45657</v>
      </c>
      <c r="B51" s="26">
        <v>170.50040000000001</v>
      </c>
      <c r="C51" s="28">
        <f t="shared" si="7"/>
        <v>-1.0519229541589903E-2</v>
      </c>
      <c r="D51" s="27">
        <v>44801.510300000002</v>
      </c>
      <c r="E51" s="28">
        <f t="shared" si="8"/>
        <v>-1.4953149134242727E-2</v>
      </c>
      <c r="F51" s="27">
        <v>13964.1121</v>
      </c>
      <c r="G51" s="28">
        <f t="shared" si="9"/>
        <v>-1.7199919054070811E-2</v>
      </c>
      <c r="I51" s="25">
        <v>46022</v>
      </c>
      <c r="J51" s="26">
        <v>119.718</v>
      </c>
      <c r="K51" s="28">
        <v>-3.648803195449235E-2</v>
      </c>
      <c r="L51" s="27">
        <v>48220.752699999997</v>
      </c>
      <c r="M51" s="28">
        <v>-2.363449335564205E-3</v>
      </c>
      <c r="N51" s="27">
        <v>12250.44</v>
      </c>
      <c r="O51" s="28">
        <v>3.0702198473386844E-4</v>
      </c>
      <c r="Q51" s="25">
        <v>44804</v>
      </c>
      <c r="R51" s="26">
        <v>203.21879999999999</v>
      </c>
      <c r="S51" s="28">
        <f t="shared" si="2"/>
        <v>4.8338264159897948E-2</v>
      </c>
      <c r="T51" s="27">
        <v>30286.65</v>
      </c>
      <c r="U51" s="28">
        <f t="shared" si="13"/>
        <v>4.8056399906982961E-2</v>
      </c>
      <c r="W51" s="29"/>
      <c r="X51" s="30"/>
      <c r="Y51" s="31"/>
      <c r="Z51" s="32"/>
      <c r="AA51" s="31"/>
      <c r="AC51" s="25">
        <v>44804</v>
      </c>
      <c r="AD51" s="26">
        <v>157.86949999999999</v>
      </c>
      <c r="AE51" s="28">
        <f t="shared" si="10"/>
        <v>5.7396440192310605E-2</v>
      </c>
      <c r="AF51" s="27">
        <v>30286.65</v>
      </c>
      <c r="AG51" s="28">
        <f t="shared" si="14"/>
        <v>4.8056399906982961E-2</v>
      </c>
    </row>
    <row r="52" spans="1:33" x14ac:dyDescent="0.25">
      <c r="A52" s="25">
        <v>45688</v>
      </c>
      <c r="B52" s="26">
        <v>163.14179999999999</v>
      </c>
      <c r="C52" s="28">
        <f t="shared" si="7"/>
        <v>-4.3158843029107441E-2</v>
      </c>
      <c r="D52" s="27">
        <v>43263.660799999998</v>
      </c>
      <c r="E52" s="28">
        <f t="shared" si="8"/>
        <v>-3.4325840573280919E-2</v>
      </c>
      <c r="F52" s="27">
        <v>13632.353999999999</v>
      </c>
      <c r="G52" s="28">
        <f t="shared" si="9"/>
        <v>-2.3757908675052897E-2</v>
      </c>
      <c r="I52" s="25">
        <v>46053</v>
      </c>
      <c r="J52" s="26">
        <v>113.47280000000001</v>
      </c>
      <c r="K52" s="28">
        <v>-5.2165923252977753E-2</v>
      </c>
      <c r="L52" s="27">
        <v>46610.612699999998</v>
      </c>
      <c r="M52" s="28">
        <v>-3.3391017556637981E-2</v>
      </c>
      <c r="N52" s="27">
        <v>11749.88</v>
      </c>
      <c r="O52" s="28">
        <v>-4.086057317124947E-2</v>
      </c>
      <c r="Q52" s="25">
        <v>44834</v>
      </c>
      <c r="R52" s="26">
        <v>200.501</v>
      </c>
      <c r="S52" s="28">
        <f t="shared" si="2"/>
        <v>-1.3373762663690503E-2</v>
      </c>
      <c r="T52" s="27">
        <v>29310.51</v>
      </c>
      <c r="U52" s="28">
        <f t="shared" si="13"/>
        <v>-3.2230041949175781E-2</v>
      </c>
      <c r="W52" s="29"/>
      <c r="X52" s="30"/>
      <c r="Y52" s="31"/>
      <c r="Z52" s="32"/>
      <c r="AA52" s="31"/>
      <c r="AC52" s="25">
        <v>44834</v>
      </c>
      <c r="AD52" s="26">
        <v>153.3484</v>
      </c>
      <c r="AE52" s="28">
        <f t="shared" si="10"/>
        <v>-2.8638210674005959E-2</v>
      </c>
      <c r="AF52" s="27">
        <v>29310.51</v>
      </c>
      <c r="AG52" s="28">
        <f t="shared" si="14"/>
        <v>-3.2230041949175781E-2</v>
      </c>
    </row>
    <row r="53" spans="1:33" x14ac:dyDescent="0.25">
      <c r="A53" s="25">
        <v>45716</v>
      </c>
      <c r="B53" s="26">
        <v>153.57759999999999</v>
      </c>
      <c r="C53" s="28">
        <f t="shared" si="7"/>
        <v>-5.8625073402402084E-2</v>
      </c>
      <c r="D53" s="27">
        <v>39915.286</v>
      </c>
      <c r="E53" s="28">
        <f t="shared" si="8"/>
        <v>-7.739462491347926E-2</v>
      </c>
      <c r="F53" s="27">
        <v>12671.265299999999</v>
      </c>
      <c r="G53" s="28">
        <f t="shared" si="9"/>
        <v>-7.0500567987010876E-2</v>
      </c>
      <c r="Q53" s="25">
        <v>44865</v>
      </c>
      <c r="R53" s="26">
        <v>206.29730000000001</v>
      </c>
      <c r="S53" s="28">
        <f t="shared" si="2"/>
        <v>2.8909082747716974E-2</v>
      </c>
      <c r="T53" s="27">
        <v>30508.74</v>
      </c>
      <c r="U53" s="28">
        <f t="shared" si="13"/>
        <v>4.0880557861326938E-2</v>
      </c>
      <c r="W53" s="29"/>
      <c r="X53" s="30"/>
      <c r="Y53" s="31"/>
      <c r="Z53" s="32"/>
      <c r="AA53" s="31"/>
      <c r="AC53" s="25">
        <v>44865</v>
      </c>
      <c r="AD53" s="26">
        <v>158.89439999999999</v>
      </c>
      <c r="AE53" s="28">
        <f t="shared" si="10"/>
        <v>3.6166011513651286E-2</v>
      </c>
      <c r="AF53" s="27">
        <v>30508.74</v>
      </c>
      <c r="AG53" s="28">
        <f t="shared" si="14"/>
        <v>4.0880557861326938E-2</v>
      </c>
    </row>
    <row r="54" spans="1:33" x14ac:dyDescent="0.25">
      <c r="A54" s="25">
        <v>45747</v>
      </c>
      <c r="B54" s="26">
        <v>164.01259999999999</v>
      </c>
      <c r="C54" s="28">
        <f t="shared" si="7"/>
        <v>6.7946106723897337E-2</v>
      </c>
      <c r="D54" s="27">
        <v>42835.208500000001</v>
      </c>
      <c r="E54" s="28">
        <f t="shared" si="8"/>
        <v>7.3152989558937342E-2</v>
      </c>
      <c r="F54" s="27">
        <v>13572.951300000001</v>
      </c>
      <c r="G54" s="28">
        <f t="shared" si="9"/>
        <v>7.1159902239597228E-2</v>
      </c>
      <c r="Q54" s="25">
        <v>44895</v>
      </c>
      <c r="R54" s="26">
        <v>207.3192</v>
      </c>
      <c r="S54" s="28">
        <f t="shared" si="2"/>
        <v>4.9535306569692406E-3</v>
      </c>
      <c r="T54" s="27">
        <v>31565.040000000001</v>
      </c>
      <c r="U54" s="28">
        <f t="shared" si="13"/>
        <v>3.4622865447737183E-2</v>
      </c>
      <c r="W54" s="29"/>
      <c r="X54" s="30"/>
      <c r="Y54" s="31"/>
      <c r="Z54" s="32"/>
      <c r="AA54" s="31"/>
      <c r="AC54" s="25">
        <v>44895</v>
      </c>
      <c r="AD54" s="26">
        <v>161.43</v>
      </c>
      <c r="AE54" s="28">
        <f t="shared" si="10"/>
        <v>1.5957768178110898E-2</v>
      </c>
      <c r="AF54" s="27">
        <v>31565.040000000001</v>
      </c>
      <c r="AG54" s="28">
        <f t="shared" si="14"/>
        <v>3.4622865447737183E-2</v>
      </c>
    </row>
    <row r="55" spans="1:33" x14ac:dyDescent="0.25">
      <c r="A55" s="25">
        <v>45777</v>
      </c>
      <c r="B55" s="26">
        <v>168.5667</v>
      </c>
      <c r="C55" s="28">
        <f t="shared" si="7"/>
        <v>2.776676913846865E-2</v>
      </c>
      <c r="D55" s="27">
        <v>44195.9715</v>
      </c>
      <c r="E55" s="28">
        <f t="shared" si="8"/>
        <v>3.1767395272512822E-2</v>
      </c>
      <c r="F55" s="27">
        <v>14028.509700000001</v>
      </c>
      <c r="G55" s="28">
        <v>3.3563695170703234E-2</v>
      </c>
      <c r="Q55" s="25">
        <v>44926</v>
      </c>
      <c r="R55" s="26">
        <v>200.29349999999999</v>
      </c>
      <c r="S55" s="28">
        <f t="shared" si="2"/>
        <v>-3.3888322933910642E-2</v>
      </c>
      <c r="T55" s="27">
        <v>30570.14</v>
      </c>
      <c r="U55" s="28">
        <f t="shared" si="13"/>
        <v>-3.151904765525404E-2</v>
      </c>
      <c r="W55" s="29"/>
      <c r="X55" s="30"/>
      <c r="Y55" s="31"/>
      <c r="Z55" s="32"/>
      <c r="AA55" s="31"/>
      <c r="AC55" s="25">
        <v>44926</v>
      </c>
      <c r="AD55" s="26">
        <v>154.88499999999999</v>
      </c>
      <c r="AE55" s="28">
        <f t="shared" si="10"/>
        <v>-4.0543888992132904E-2</v>
      </c>
      <c r="AF55" s="27">
        <v>30570.14</v>
      </c>
      <c r="AG55" s="28">
        <f t="shared" si="14"/>
        <v>-3.151904765525404E-2</v>
      </c>
    </row>
    <row r="56" spans="1:33" x14ac:dyDescent="0.25">
      <c r="A56" s="25">
        <v>45808</v>
      </c>
      <c r="B56" s="26">
        <v>172.7774</v>
      </c>
      <c r="C56" s="28">
        <v>2.4979429507726136E-2</v>
      </c>
      <c r="D56" s="27">
        <v>45761.725299999998</v>
      </c>
      <c r="E56" s="28">
        <v>3.5427523071870803E-2</v>
      </c>
      <c r="F56" s="27">
        <v>14407.8328</v>
      </c>
      <c r="G56" s="28">
        <v>2.7039443826310405E-2</v>
      </c>
      <c r="Q56" s="25">
        <v>44957</v>
      </c>
      <c r="R56" s="26">
        <v>193.75710000000001</v>
      </c>
      <c r="S56" s="28">
        <f t="shared" si="2"/>
        <v>-3.2634109444390269E-2</v>
      </c>
      <c r="T56" s="27">
        <v>29550.31</v>
      </c>
      <c r="U56" s="28">
        <f t="shared" si="13"/>
        <v>-3.3360331356022566E-2</v>
      </c>
      <c r="W56" s="29"/>
      <c r="X56" s="30"/>
      <c r="Y56" s="31"/>
      <c r="Z56" s="32"/>
      <c r="AA56" s="31"/>
      <c r="AC56" s="25">
        <v>44957</v>
      </c>
      <c r="AD56" s="26">
        <v>150.98650000000001</v>
      </c>
      <c r="AE56" s="28">
        <f t="shared" si="10"/>
        <v>-2.5170287632759636E-2</v>
      </c>
      <c r="AF56" s="27">
        <v>29550.31</v>
      </c>
      <c r="AG56" s="28">
        <f t="shared" si="14"/>
        <v>-3.3360331356022566E-2</v>
      </c>
    </row>
    <row r="57" spans="1:33" x14ac:dyDescent="0.25">
      <c r="A57" s="25">
        <v>45838</v>
      </c>
      <c r="B57" s="26">
        <v>180.22559999999999</v>
      </c>
      <c r="C57" s="28">
        <v>4.310864731151165E-2</v>
      </c>
      <c r="D57" s="27">
        <v>47447.448100000001</v>
      </c>
      <c r="E57" s="28">
        <v>3.6836959029602045E-2</v>
      </c>
      <c r="F57" s="27">
        <v>14906.703299999999</v>
      </c>
      <c r="G57" s="28">
        <v>3.4624950672664578E-2</v>
      </c>
      <c r="Q57" s="25">
        <v>44985</v>
      </c>
      <c r="R57" s="26">
        <v>188.91149999999999</v>
      </c>
      <c r="S57" s="28">
        <f t="shared" si="2"/>
        <v>-2.500863194174574E-2</v>
      </c>
      <c r="T57" s="27">
        <v>28738.22</v>
      </c>
      <c r="U57" s="28">
        <f t="shared" si="13"/>
        <v>-2.7481606791942337E-2</v>
      </c>
      <c r="W57" s="29"/>
      <c r="X57" s="30"/>
      <c r="Y57" s="31"/>
      <c r="Z57" s="32"/>
      <c r="AA57" s="31"/>
      <c r="AC57" s="25">
        <v>44985</v>
      </c>
      <c r="AD57" s="26">
        <v>149.98259999999999</v>
      </c>
      <c r="AE57" s="28">
        <f t="shared" si="10"/>
        <v>-6.6489388124104654E-3</v>
      </c>
      <c r="AF57" s="27">
        <v>28738.22</v>
      </c>
      <c r="AG57" s="28">
        <f t="shared" si="14"/>
        <v>-2.7481606791942337E-2</v>
      </c>
    </row>
    <row r="58" spans="1:33" x14ac:dyDescent="0.25">
      <c r="A58" s="25">
        <v>45869</v>
      </c>
      <c r="B58" s="26">
        <v>174.5908</v>
      </c>
      <c r="C58" s="28">
        <v>-3.1265258653598527E-2</v>
      </c>
      <c r="D58" s="27">
        <v>46160.076800000003</v>
      </c>
      <c r="E58" s="28">
        <v>-2.7132571962284247E-2</v>
      </c>
      <c r="F58" s="27">
        <v>14486.660099999999</v>
      </c>
      <c r="G58" s="28">
        <v>-2.8178141843072768E-2</v>
      </c>
      <c r="Q58" s="25">
        <v>45016</v>
      </c>
      <c r="R58" s="26">
        <v>187.91630000000001</v>
      </c>
      <c r="S58" s="28">
        <f t="shared" si="2"/>
        <v>-5.2680752627551897E-3</v>
      </c>
      <c r="T58" s="27">
        <v>28840.63</v>
      </c>
      <c r="U58" s="28">
        <f t="shared" si="13"/>
        <v>3.5635470812040992E-3</v>
      </c>
      <c r="W58" s="29"/>
      <c r="X58" s="30"/>
      <c r="Y58" s="31"/>
      <c r="Z58" s="32"/>
      <c r="AA58" s="31"/>
      <c r="AC58" s="25">
        <v>45016</v>
      </c>
      <c r="AD58" s="26">
        <v>149.5308</v>
      </c>
      <c r="AE58" s="28">
        <f t="shared" si="10"/>
        <v>-3.0123494325341449E-3</v>
      </c>
      <c r="AF58" s="27">
        <v>28840.63</v>
      </c>
      <c r="AG58" s="28">
        <f t="shared" si="14"/>
        <v>3.5635470812040992E-3</v>
      </c>
    </row>
    <row r="59" spans="1:33" x14ac:dyDescent="0.25">
      <c r="A59" s="25">
        <v>45900</v>
      </c>
      <c r="B59" s="26">
        <v>171.25659999999999</v>
      </c>
      <c r="C59" s="28">
        <v>-1.909722619977694E-2</v>
      </c>
      <c r="D59" s="27">
        <v>45353.5432</v>
      </c>
      <c r="E59" s="28">
        <v>-1.7472535920910803E-2</v>
      </c>
      <c r="F59" s="27">
        <v>14256.864299999999</v>
      </c>
      <c r="G59" s="28">
        <v>-1.5862579670796628E-2</v>
      </c>
      <c r="Q59" s="25">
        <v>45046</v>
      </c>
      <c r="R59" s="26">
        <v>196.78270000000001</v>
      </c>
      <c r="S59" s="28">
        <f t="shared" si="2"/>
        <v>4.7182708471803725E-2</v>
      </c>
      <c r="T59" s="27">
        <v>30163.3</v>
      </c>
      <c r="U59" s="28">
        <f t="shared" si="13"/>
        <v>4.5861342141277683E-2</v>
      </c>
      <c r="W59" s="29"/>
      <c r="X59" s="30"/>
      <c r="Y59" s="31"/>
      <c r="Z59" s="32"/>
      <c r="AA59" s="31"/>
      <c r="AC59" s="25">
        <v>45046</v>
      </c>
      <c r="AD59" s="26">
        <v>158.0479</v>
      </c>
      <c r="AE59" s="28">
        <f t="shared" si="10"/>
        <v>5.6958833899102945E-2</v>
      </c>
      <c r="AF59" s="27">
        <v>30163.3</v>
      </c>
      <c r="AG59" s="28">
        <f t="shared" si="14"/>
        <v>4.5861342141277683E-2</v>
      </c>
    </row>
    <row r="60" spans="1:33" x14ac:dyDescent="0.25">
      <c r="A60" s="25">
        <v>45930</v>
      </c>
      <c r="B60" s="26">
        <v>171.81909999999999</v>
      </c>
      <c r="C60" s="28">
        <v>3.2845449460050524E-3</v>
      </c>
      <c r="D60" s="27">
        <v>45914.575299999997</v>
      </c>
      <c r="E60" s="28">
        <v>1.2370193383259176E-2</v>
      </c>
      <c r="F60" s="27">
        <v>14429.128500000001</v>
      </c>
      <c r="G60" s="28">
        <v>1.2082895395167714E-2</v>
      </c>
      <c r="Q60" s="25">
        <v>45077</v>
      </c>
      <c r="R60" s="26">
        <v>206.65950000000001</v>
      </c>
      <c r="S60" s="28">
        <f t="shared" si="2"/>
        <v>5.0191404020780261E-2</v>
      </c>
      <c r="T60" s="27">
        <v>31302.01</v>
      </c>
      <c r="U60" s="28">
        <f t="shared" si="13"/>
        <v>3.7751505969174426E-2</v>
      </c>
      <c r="W60" s="29"/>
      <c r="X60" s="30"/>
      <c r="Y60" s="31"/>
      <c r="Z60" s="32"/>
      <c r="AA60" s="31"/>
      <c r="AC60" s="25">
        <v>45077</v>
      </c>
      <c r="AD60" s="26">
        <v>167.38720000000001</v>
      </c>
      <c r="AE60" s="28">
        <f t="shared" si="10"/>
        <v>5.9091579198458311E-2</v>
      </c>
      <c r="AF60" s="27">
        <v>31302.01</v>
      </c>
      <c r="AG60" s="28">
        <f t="shared" si="14"/>
        <v>3.7751505969174426E-2</v>
      </c>
    </row>
    <row r="61" spans="1:33" x14ac:dyDescent="0.25">
      <c r="A61" s="25">
        <v>45961</v>
      </c>
      <c r="B61" s="26">
        <v>178.04339999999999</v>
      </c>
      <c r="C61" s="28">
        <v>3.6225891067989568E-2</v>
      </c>
      <c r="D61" s="27">
        <v>47876.898500000003</v>
      </c>
      <c r="E61" s="28">
        <v>4.2738568029398794E-2</v>
      </c>
      <c r="F61" s="27">
        <v>15074.93</v>
      </c>
      <c r="G61" s="28">
        <v>4.4756791790994122E-2</v>
      </c>
      <c r="Q61" s="25">
        <v>45107</v>
      </c>
      <c r="R61" s="26">
        <v>216.1412</v>
      </c>
      <c r="S61" s="28">
        <f t="shared" si="2"/>
        <v>4.5880784575594191E-2</v>
      </c>
      <c r="T61" s="27">
        <v>32641.79</v>
      </c>
      <c r="U61" s="28">
        <f t="shared" si="13"/>
        <v>4.280172423432238E-2</v>
      </c>
      <c r="W61" s="29"/>
      <c r="X61" s="30"/>
      <c r="Y61" s="31"/>
      <c r="Z61" s="32"/>
      <c r="AA61" s="31"/>
      <c r="AC61" s="25">
        <v>45107</v>
      </c>
      <c r="AD61" s="26">
        <v>170.95320000000001</v>
      </c>
      <c r="AE61" s="28">
        <f t="shared" si="10"/>
        <v>2.1303898983912717E-2</v>
      </c>
      <c r="AF61" s="27">
        <v>32641.79</v>
      </c>
      <c r="AG61" s="28">
        <f t="shared" si="14"/>
        <v>4.280172423432238E-2</v>
      </c>
    </row>
    <row r="62" spans="1:33" x14ac:dyDescent="0.25">
      <c r="A62" s="25">
        <v>45991</v>
      </c>
      <c r="B62" s="26">
        <v>180.54990000000001</v>
      </c>
      <c r="C62" s="28">
        <v>1.4078028166166323E-2</v>
      </c>
      <c r="D62" s="27">
        <v>48334.99</v>
      </c>
      <c r="E62" s="28">
        <v>9.5681114347871965E-3</v>
      </c>
      <c r="F62" s="27">
        <v>15300.538</v>
      </c>
      <c r="G62" s="28">
        <v>1.4965774302102997E-2</v>
      </c>
      <c r="Q62" s="25">
        <v>45138</v>
      </c>
      <c r="R62" s="26">
        <v>222.32320000000001</v>
      </c>
      <c r="S62" s="28">
        <f t="shared" si="2"/>
        <v>2.8601673350568957E-2</v>
      </c>
      <c r="T62" s="27">
        <v>33930.400000000001</v>
      </c>
      <c r="U62" s="28">
        <f t="shared" si="13"/>
        <v>3.9477308076548479E-2</v>
      </c>
      <c r="W62" s="29"/>
      <c r="X62" s="30"/>
      <c r="Y62" s="31"/>
      <c r="Z62" s="32"/>
      <c r="AA62" s="31"/>
      <c r="AC62" s="25">
        <v>45138</v>
      </c>
      <c r="AD62" s="26">
        <v>173.71719999999999</v>
      </c>
      <c r="AE62" s="28">
        <f t="shared" si="10"/>
        <v>1.6168167662260702E-2</v>
      </c>
      <c r="AF62" s="27">
        <v>33930.400000000001</v>
      </c>
      <c r="AG62" s="28">
        <f t="shared" si="14"/>
        <v>3.9477308076548479E-2</v>
      </c>
    </row>
    <row r="63" spans="1:33" x14ac:dyDescent="0.25">
      <c r="A63" s="25">
        <v>46022</v>
      </c>
      <c r="B63" s="26">
        <v>179.29480000000001</v>
      </c>
      <c r="C63" s="28">
        <v>-6.9515408205709228E-3</v>
      </c>
      <c r="D63" s="27">
        <v>48220.752699999997</v>
      </c>
      <c r="E63" s="28">
        <v>-2.363449335564205E-3</v>
      </c>
      <c r="F63" s="27">
        <v>15268.03</v>
      </c>
      <c r="G63" s="28">
        <v>-2.1246311730999112E-3</v>
      </c>
      <c r="Q63" s="25">
        <v>45169</v>
      </c>
      <c r="R63" s="26">
        <v>222.79820000000001</v>
      </c>
      <c r="S63" s="28">
        <f t="shared" si="2"/>
        <v>2.1365291611492587E-3</v>
      </c>
      <c r="T63" s="27">
        <v>33722.379999999997</v>
      </c>
      <c r="U63" s="28">
        <f t="shared" si="13"/>
        <v>-6.1307853724095196E-3</v>
      </c>
      <c r="W63" s="29"/>
      <c r="X63" s="30"/>
      <c r="Y63" s="31"/>
      <c r="Z63" s="32"/>
      <c r="AA63" s="31"/>
      <c r="AC63" s="25">
        <v>45169</v>
      </c>
      <c r="AD63" s="26">
        <v>174.81290000000001</v>
      </c>
      <c r="AE63" s="28">
        <f t="shared" si="10"/>
        <v>6.3073777380708851E-3</v>
      </c>
      <c r="AF63" s="27">
        <v>33722.379999999997</v>
      </c>
      <c r="AG63" s="28">
        <f t="shared" si="14"/>
        <v>-6.1307853724095196E-3</v>
      </c>
    </row>
    <row r="64" spans="1:33" x14ac:dyDescent="0.25">
      <c r="A64" s="25">
        <v>46053</v>
      </c>
      <c r="B64" s="26">
        <v>174.08189999999999</v>
      </c>
      <c r="C64" s="28">
        <v>-2.9074462839970949E-2</v>
      </c>
      <c r="D64" s="27">
        <v>46610.612699999998</v>
      </c>
      <c r="E64" s="28">
        <v>-3.3391017556637981E-2</v>
      </c>
      <c r="F64" s="27">
        <v>14798.343000000001</v>
      </c>
      <c r="G64" s="28">
        <v>-3.0762776861192997E-2</v>
      </c>
      <c r="Q64" s="25">
        <v>45199</v>
      </c>
      <c r="R64" s="26">
        <v>223.50120000000001</v>
      </c>
      <c r="S64" s="28">
        <f t="shared" si="2"/>
        <v>3.1553217216298002E-3</v>
      </c>
      <c r="T64" s="27">
        <v>34432.78</v>
      </c>
      <c r="U64" s="28">
        <f t="shared" si="13"/>
        <v>2.1066128784504645E-2</v>
      </c>
      <c r="W64" s="29"/>
      <c r="X64" s="30"/>
      <c r="Y64" s="31"/>
      <c r="Z64" s="32"/>
      <c r="AA64" s="31"/>
      <c r="AC64" s="25">
        <v>45199</v>
      </c>
      <c r="AD64" s="26">
        <v>174.34870000000001</v>
      </c>
      <c r="AE64" s="28">
        <f t="shared" si="10"/>
        <v>-2.6554104416779412E-3</v>
      </c>
      <c r="AF64" s="27">
        <v>34432.78</v>
      </c>
      <c r="AG64" s="28">
        <f t="shared" si="14"/>
        <v>2.1066128784504645E-2</v>
      </c>
    </row>
    <row r="65" spans="17:33" x14ac:dyDescent="0.25">
      <c r="Q65" s="25">
        <v>45230</v>
      </c>
      <c r="R65" s="26">
        <v>217.69540000000001</v>
      </c>
      <c r="S65" s="28">
        <f t="shared" si="2"/>
        <v>-2.5976594309113366E-2</v>
      </c>
      <c r="T65" s="27">
        <v>33447.78</v>
      </c>
      <c r="U65" s="28">
        <f t="shared" si="13"/>
        <v>-2.8606461633362112E-2</v>
      </c>
      <c r="W65" s="29"/>
      <c r="X65" s="30"/>
      <c r="Y65" s="31"/>
      <c r="Z65" s="32"/>
      <c r="AA65" s="31"/>
      <c r="AC65" s="25">
        <v>45230</v>
      </c>
      <c r="AD65" s="26">
        <v>172.65690000000001</v>
      </c>
      <c r="AE65" s="28">
        <f t="shared" si="10"/>
        <v>-9.7035423837401602E-3</v>
      </c>
      <c r="AF65" s="27">
        <v>33447.78</v>
      </c>
      <c r="AG65" s="28">
        <f t="shared" si="14"/>
        <v>-2.8606461633362112E-2</v>
      </c>
    </row>
    <row r="66" spans="17:33" x14ac:dyDescent="0.25">
      <c r="Q66" s="25">
        <v>45260</v>
      </c>
      <c r="R66" s="26">
        <v>232.21379999999999</v>
      </c>
      <c r="S66" s="28">
        <f t="shared" si="2"/>
        <v>6.6691349472703498E-2</v>
      </c>
      <c r="T66" s="27">
        <v>35808.42</v>
      </c>
      <c r="U66" s="28">
        <f t="shared" si="13"/>
        <v>7.0576881335622232E-2</v>
      </c>
      <c r="W66" s="29"/>
      <c r="X66" s="30"/>
      <c r="Y66" s="31"/>
      <c r="Z66" s="32"/>
      <c r="AA66" s="31"/>
      <c r="AC66" s="25">
        <v>45260</v>
      </c>
      <c r="AD66" s="26">
        <v>182.71549999999999</v>
      </c>
      <c r="AE66" s="28">
        <f t="shared" si="10"/>
        <v>5.8257735427891921E-2</v>
      </c>
      <c r="AF66" s="27">
        <v>35808.42</v>
      </c>
      <c r="AG66" s="28">
        <f t="shared" si="14"/>
        <v>7.0576881335622232E-2</v>
      </c>
    </row>
    <row r="67" spans="17:33" x14ac:dyDescent="0.25">
      <c r="Q67" s="25">
        <v>45291</v>
      </c>
      <c r="R67" s="26">
        <v>244.273</v>
      </c>
      <c r="S67" s="28">
        <f t="shared" si="2"/>
        <v>5.1931452824939717E-2</v>
      </c>
      <c r="T67" s="27">
        <v>38685.410000000003</v>
      </c>
      <c r="U67" s="28">
        <f t="shared" si="13"/>
        <v>8.0343952623433301E-2</v>
      </c>
      <c r="W67" s="29"/>
      <c r="X67" s="30"/>
      <c r="Y67" s="31"/>
      <c r="Z67" s="32"/>
      <c r="AA67" s="31"/>
      <c r="AC67" s="25">
        <v>45291</v>
      </c>
      <c r="AD67" s="26">
        <v>192.0532</v>
      </c>
      <c r="AE67" s="28">
        <f t="shared" si="10"/>
        <v>5.1105133390434876E-2</v>
      </c>
      <c r="AF67" s="27">
        <v>38685.410000000003</v>
      </c>
      <c r="AG67" s="28">
        <f t="shared" si="14"/>
        <v>8.0343952623433301E-2</v>
      </c>
    </row>
    <row r="68" spans="17:33" x14ac:dyDescent="0.25">
      <c r="Q68" s="25">
        <v>45322</v>
      </c>
      <c r="R68" s="26">
        <v>243.4819</v>
      </c>
      <c r="S68" s="28">
        <f t="shared" ref="S68:S70" si="15">R68/R67-1</f>
        <v>-3.2385896108042544E-3</v>
      </c>
      <c r="T68" s="27">
        <v>39427.279999999999</v>
      </c>
      <c r="U68" s="28">
        <f t="shared" si="13"/>
        <v>1.9176997219364944E-2</v>
      </c>
      <c r="W68" s="29"/>
      <c r="X68" s="30"/>
      <c r="Y68" s="31"/>
      <c r="Z68" s="32"/>
      <c r="AA68" s="31"/>
      <c r="AC68" s="25">
        <v>45322</v>
      </c>
      <c r="AD68" s="26">
        <v>192.4093</v>
      </c>
      <c r="AE68" s="28">
        <f t="shared" si="10"/>
        <v>1.8541737393598101E-3</v>
      </c>
      <c r="AF68" s="27">
        <v>39427.279999999999</v>
      </c>
      <c r="AG68" s="28">
        <f t="shared" si="14"/>
        <v>1.9176997219364944E-2</v>
      </c>
    </row>
    <row r="69" spans="17:33" x14ac:dyDescent="0.25">
      <c r="Q69" s="25">
        <v>45351</v>
      </c>
      <c r="R69" s="26">
        <v>248.35079999999999</v>
      </c>
      <c r="S69" s="28">
        <f t="shared" si="15"/>
        <v>1.9996968973874374E-2</v>
      </c>
      <c r="T69" s="27">
        <v>40081.339999999997</v>
      </c>
      <c r="U69" s="28">
        <f t="shared" si="13"/>
        <v>1.6589021611432386E-2</v>
      </c>
      <c r="W69" s="29"/>
      <c r="X69" s="30"/>
      <c r="Y69" s="31"/>
      <c r="Z69" s="32"/>
      <c r="AA69" s="31"/>
      <c r="AC69" s="25">
        <v>45351</v>
      </c>
      <c r="AD69" s="26">
        <v>194.3672</v>
      </c>
      <c r="AE69" s="28">
        <f t="shared" ref="AE69:AE81" si="16">AD69/AD68-1</f>
        <v>1.0175703565264316E-2</v>
      </c>
      <c r="AF69" s="27">
        <v>40081.339999999997</v>
      </c>
      <c r="AG69" s="28">
        <f t="shared" si="14"/>
        <v>1.6589021611432386E-2</v>
      </c>
    </row>
    <row r="70" spans="17:33" x14ac:dyDescent="0.25">
      <c r="Q70" s="25">
        <v>45382</v>
      </c>
      <c r="R70" s="26">
        <v>249.12620000000001</v>
      </c>
      <c r="S70" s="28">
        <f t="shared" si="15"/>
        <v>3.1221965059102796E-3</v>
      </c>
      <c r="T70" s="27">
        <v>40424.15</v>
      </c>
      <c r="U70" s="28">
        <f t="shared" si="13"/>
        <v>8.552857763737487E-3</v>
      </c>
      <c r="W70" s="29"/>
      <c r="X70" s="30"/>
      <c r="Y70" s="31"/>
      <c r="Z70" s="32"/>
      <c r="AA70" s="31"/>
      <c r="AC70" s="25">
        <v>45382</v>
      </c>
      <c r="AD70" s="26">
        <v>195.39680000000001</v>
      </c>
      <c r="AE70" s="28">
        <f t="shared" si="16"/>
        <v>5.2971900608744793E-3</v>
      </c>
      <c r="AF70" s="27">
        <v>40424.15</v>
      </c>
      <c r="AG70" s="28">
        <f t="shared" si="14"/>
        <v>8.552857763737487E-3</v>
      </c>
    </row>
    <row r="71" spans="17:33" x14ac:dyDescent="0.25">
      <c r="Q71" s="25">
        <v>45412</v>
      </c>
      <c r="R71" s="26">
        <v>256.89249999999998</v>
      </c>
      <c r="S71" s="28">
        <f>R71/R70-1</f>
        <v>3.1174159923765377E-2</v>
      </c>
      <c r="T71" s="27">
        <v>41813.89</v>
      </c>
      <c r="U71" s="28">
        <f>T71/T70-1</f>
        <v>3.4378954164775211E-2</v>
      </c>
      <c r="W71" s="29"/>
      <c r="X71" s="30"/>
      <c r="Y71" s="31"/>
      <c r="Z71" s="32"/>
      <c r="AA71" s="31"/>
      <c r="AC71" s="25">
        <v>45412</v>
      </c>
      <c r="AD71" s="26">
        <v>198.53200000000001</v>
      </c>
      <c r="AE71" s="28">
        <f t="shared" si="16"/>
        <v>1.6045298592402668E-2</v>
      </c>
      <c r="AF71" s="27">
        <v>41813.89</v>
      </c>
      <c r="AG71" s="28">
        <f>AF71/AF70-1</f>
        <v>3.4378954164775211E-2</v>
      </c>
    </row>
    <row r="72" spans="17:33" x14ac:dyDescent="0.25">
      <c r="Q72" s="25">
        <v>45443</v>
      </c>
      <c r="R72" s="26">
        <v>260.65089999999998</v>
      </c>
      <c r="S72" s="28">
        <f t="shared" ref="S72" si="17">R72/R71-1</f>
        <v>1.4630244168280404E-2</v>
      </c>
      <c r="T72" s="27">
        <v>42163.02</v>
      </c>
      <c r="U72" s="28">
        <f t="shared" ref="U72" si="18">T72/T71-1</f>
        <v>8.3496177944697436E-3</v>
      </c>
      <c r="W72" s="29"/>
      <c r="X72" s="30"/>
      <c r="Y72" s="31"/>
      <c r="Z72" s="32"/>
      <c r="AA72" s="31"/>
      <c r="AC72" s="25">
        <v>45443</v>
      </c>
      <c r="AD72" s="26">
        <v>195.17660000000001</v>
      </c>
      <c r="AE72" s="28">
        <f t="shared" si="16"/>
        <v>-1.6901053734410643E-2</v>
      </c>
      <c r="AF72" s="27">
        <v>42163.02</v>
      </c>
      <c r="AG72" s="28">
        <f t="shared" ref="AG72" si="19">AF72/AF71-1</f>
        <v>8.3496177944697436E-3</v>
      </c>
    </row>
    <row r="73" spans="17:33" x14ac:dyDescent="0.25">
      <c r="Q73" s="25">
        <v>45473</v>
      </c>
      <c r="R73" s="26">
        <v>277.99540000000002</v>
      </c>
      <c r="S73" s="28">
        <f>R73/R72-1</f>
        <v>6.6543027474679883E-2</v>
      </c>
      <c r="T73" s="27">
        <v>45136.916599999997</v>
      </c>
      <c r="U73" s="28">
        <f>T73/T72-1</f>
        <v>7.0533291970072298E-2</v>
      </c>
      <c r="W73" s="29"/>
      <c r="X73" s="30"/>
      <c r="Y73" s="31"/>
      <c r="Z73" s="32"/>
      <c r="AA73" s="31"/>
      <c r="AC73" s="25">
        <v>45473</v>
      </c>
      <c r="AD73" s="26">
        <v>213.744</v>
      </c>
      <c r="AE73" s="28">
        <f t="shared" si="16"/>
        <v>9.5131281106443977E-2</v>
      </c>
      <c r="AF73" s="27">
        <v>45136.916599999997</v>
      </c>
      <c r="AG73" s="28">
        <f>AF73/AF72-1</f>
        <v>7.0533291970072298E-2</v>
      </c>
    </row>
    <row r="74" spans="17:33" x14ac:dyDescent="0.25">
      <c r="Q74" s="25">
        <v>45504</v>
      </c>
      <c r="R74" s="26">
        <v>286.29250000000002</v>
      </c>
      <c r="S74" s="28">
        <f t="shared" ref="S74" si="20">R74/R73-1</f>
        <v>2.9846177310847599E-2</v>
      </c>
      <c r="T74" s="27">
        <v>47142.929100000001</v>
      </c>
      <c r="U74" s="28">
        <f t="shared" ref="U74" si="21">T74/T73-1</f>
        <v>4.4442834183316959E-2</v>
      </c>
      <c r="W74" s="29"/>
      <c r="X74" s="30"/>
      <c r="Y74" s="31"/>
      <c r="Z74" s="32"/>
      <c r="AA74" s="31"/>
      <c r="AC74" s="25">
        <v>45504</v>
      </c>
      <c r="AD74" s="26">
        <v>220.4179</v>
      </c>
      <c r="AE74" s="28">
        <f t="shared" si="16"/>
        <v>3.1223800434164284E-2</v>
      </c>
      <c r="AF74" s="27">
        <v>47142.929100000001</v>
      </c>
      <c r="AG74" s="28">
        <f t="shared" ref="AG74" si="22">AF74/AF73-1</f>
        <v>4.4442834183316959E-2</v>
      </c>
    </row>
    <row r="75" spans="17:33" x14ac:dyDescent="0.25">
      <c r="Q75" s="25">
        <v>45535</v>
      </c>
      <c r="R75" s="26">
        <v>292.08819999999997</v>
      </c>
      <c r="S75" s="28">
        <f>R75/R74-1</f>
        <v>2.0243981242959341E-2</v>
      </c>
      <c r="T75" s="27">
        <v>47595.045899999997</v>
      </c>
      <c r="U75" s="28">
        <f>T75/T74-1</f>
        <v>9.5903417252873879E-3</v>
      </c>
      <c r="W75" s="29"/>
      <c r="X75" s="30"/>
      <c r="Y75" s="31"/>
      <c r="Z75" s="32"/>
      <c r="AA75" s="31"/>
      <c r="AC75" s="25">
        <v>45535</v>
      </c>
      <c r="AD75" s="26">
        <v>227.6944</v>
      </c>
      <c r="AE75" s="28">
        <f t="shared" si="16"/>
        <v>3.3012291651449255E-2</v>
      </c>
      <c r="AF75" s="27">
        <v>47595.045899999997</v>
      </c>
      <c r="AG75" s="28">
        <f>AF75/AF74-1</f>
        <v>9.5903417252873879E-3</v>
      </c>
    </row>
    <row r="76" spans="17:33" x14ac:dyDescent="0.25">
      <c r="Q76" s="25">
        <v>45565</v>
      </c>
      <c r="R76" s="26">
        <v>301.71789999999999</v>
      </c>
      <c r="S76" s="28">
        <f t="shared" ref="S76" si="23">R76/R75-1</f>
        <v>3.2968466374198035E-2</v>
      </c>
      <c r="T76" s="27">
        <v>48588.661399999997</v>
      </c>
      <c r="U76" s="28">
        <f t="shared" ref="U76" si="24">T76/T75-1</f>
        <v>2.0876447983423363E-2</v>
      </c>
      <c r="W76" s="29"/>
      <c r="X76" s="30"/>
      <c r="Y76" s="31"/>
      <c r="Z76" s="32"/>
      <c r="AA76" s="31"/>
      <c r="AC76" s="25">
        <v>45565</v>
      </c>
      <c r="AD76" s="26">
        <v>244.15809999999999</v>
      </c>
      <c r="AE76" s="28">
        <f t="shared" si="16"/>
        <v>7.2306126105868174E-2</v>
      </c>
      <c r="AF76" s="27">
        <v>48588.661399999997</v>
      </c>
      <c r="AG76" s="28">
        <f t="shared" ref="AG76" si="25">AF76/AF75-1</f>
        <v>2.0876447983423363E-2</v>
      </c>
    </row>
    <row r="77" spans="17:33" x14ac:dyDescent="0.25">
      <c r="Q77" s="25">
        <v>45596</v>
      </c>
      <c r="R77" s="26">
        <v>287.26499999999999</v>
      </c>
      <c r="S77" s="28">
        <f>R77/R76-1</f>
        <v>-4.7902030340261526E-2</v>
      </c>
      <c r="T77" s="27">
        <v>45456.375999999997</v>
      </c>
      <c r="U77" s="28">
        <f>T77/T76-1</f>
        <v>-6.4465356932018714E-2</v>
      </c>
      <c r="W77" s="29"/>
      <c r="X77" s="30"/>
      <c r="Y77" s="31"/>
      <c r="Z77" s="32"/>
      <c r="AA77" s="31"/>
      <c r="AC77" s="25">
        <v>45596</v>
      </c>
      <c r="AD77" s="26">
        <v>235.76560000000001</v>
      </c>
      <c r="AE77" s="28">
        <f t="shared" si="16"/>
        <v>-3.437321964743334E-2</v>
      </c>
      <c r="AF77" s="27">
        <v>45456.375999999997</v>
      </c>
      <c r="AG77" s="28">
        <f>AF77/AF76-1</f>
        <v>-6.4465356932018714E-2</v>
      </c>
    </row>
    <row r="78" spans="17:33" x14ac:dyDescent="0.25">
      <c r="Q78" s="25">
        <v>45626</v>
      </c>
      <c r="R78" s="26">
        <v>290.5831</v>
      </c>
      <c r="S78" s="28">
        <f t="shared" ref="S78" si="26">R78/R77-1</f>
        <v>1.1550658799366564E-2</v>
      </c>
      <c r="T78" s="27">
        <v>45481.603499999997</v>
      </c>
      <c r="U78" s="28">
        <f t="shared" ref="U78" si="27">T78/T77-1</f>
        <v>5.5498264973885547E-4</v>
      </c>
      <c r="W78" s="29"/>
      <c r="X78" s="30"/>
      <c r="Y78" s="31"/>
      <c r="Z78" s="32"/>
      <c r="AA78" s="31"/>
      <c r="AC78" s="25">
        <v>45626</v>
      </c>
      <c r="AD78" s="26">
        <v>244.23220000000001</v>
      </c>
      <c r="AE78" s="28">
        <f t="shared" si="16"/>
        <v>3.5911091355142588E-2</v>
      </c>
      <c r="AF78" s="27">
        <v>45481.603499999997</v>
      </c>
      <c r="AG78" s="28">
        <f t="shared" ref="AG78" si="28">AF78/AF77-1</f>
        <v>5.5498264973885547E-4</v>
      </c>
    </row>
    <row r="79" spans="17:33" x14ac:dyDescent="0.25">
      <c r="Q79" s="25">
        <v>45657</v>
      </c>
      <c r="R79" s="26">
        <v>287.65480000000002</v>
      </c>
      <c r="S79" s="28">
        <f>R79/R78-1</f>
        <v>-1.0077323836107377E-2</v>
      </c>
      <c r="T79" s="27">
        <v>44801.510300000002</v>
      </c>
      <c r="U79" s="28">
        <f>T79/T78-1</f>
        <v>-1.4953149134242727E-2</v>
      </c>
      <c r="W79" s="29"/>
      <c r="X79" s="30"/>
      <c r="Y79" s="31"/>
      <c r="Z79" s="32"/>
      <c r="AA79" s="31"/>
      <c r="AC79" s="25">
        <v>45657</v>
      </c>
      <c r="AD79" s="26">
        <v>245.0522</v>
      </c>
      <c r="AE79" s="28">
        <f t="shared" si="16"/>
        <v>3.3574606460573531E-3</v>
      </c>
      <c r="AF79" s="27">
        <v>45506.830999999998</v>
      </c>
      <c r="AG79" s="28">
        <f>AF79/AF78-1</f>
        <v>5.5467481484017256E-4</v>
      </c>
    </row>
    <row r="80" spans="17:33" x14ac:dyDescent="0.25">
      <c r="Q80" s="25">
        <v>45688</v>
      </c>
      <c r="R80" s="26">
        <v>273.56720000000001</v>
      </c>
      <c r="S80" s="28">
        <f t="shared" ref="S80" si="29">R80/R79-1</f>
        <v>-4.8973978532602325E-2</v>
      </c>
      <c r="T80" s="27">
        <v>43263.660799999998</v>
      </c>
      <c r="U80" s="28">
        <f t="shared" ref="U80" si="30">T80/T79-1</f>
        <v>-3.4325840573280919E-2</v>
      </c>
      <c r="W80" s="29"/>
      <c r="X80" s="30"/>
      <c r="Y80" s="31"/>
      <c r="Z80" s="32"/>
      <c r="AA80" s="31"/>
      <c r="AC80" s="25">
        <v>45688</v>
      </c>
      <c r="AD80" s="26">
        <v>226.40889999999999</v>
      </c>
      <c r="AE80" s="28">
        <f t="shared" si="16"/>
        <v>-7.6078892578805735E-2</v>
      </c>
      <c r="AF80" s="27">
        <v>43263.660799999998</v>
      </c>
      <c r="AG80" s="28">
        <f t="shared" ref="AG80" si="31">AF80/AF79-1</f>
        <v>-4.9293043499337497E-2</v>
      </c>
    </row>
    <row r="81" spans="17:33" x14ac:dyDescent="0.25">
      <c r="Q81" s="25">
        <v>45716</v>
      </c>
      <c r="R81" s="26">
        <v>254.21770000000001</v>
      </c>
      <c r="S81" s="28">
        <f>R81/R80-1</f>
        <v>-7.0730336092923451E-2</v>
      </c>
      <c r="T81" s="27">
        <v>39915.286</v>
      </c>
      <c r="U81" s="28">
        <f>T81/T80-1</f>
        <v>-7.739462491347926E-2</v>
      </c>
      <c r="W81" s="29"/>
      <c r="X81" s="30"/>
      <c r="Y81" s="31"/>
      <c r="Z81" s="32"/>
      <c r="AA81" s="31"/>
      <c r="AC81" s="25">
        <v>45716</v>
      </c>
      <c r="AD81" s="26">
        <v>213.39959999999999</v>
      </c>
      <c r="AE81" s="28">
        <f t="shared" si="16"/>
        <v>-5.7459313657722833E-2</v>
      </c>
      <c r="AF81" s="27">
        <v>41020.490599999997</v>
      </c>
      <c r="AG81" s="28">
        <f>AF81/AF80-1</f>
        <v>-5.1848830138757074E-2</v>
      </c>
    </row>
    <row r="82" spans="17:33" x14ac:dyDescent="0.25">
      <c r="Q82" s="25">
        <v>45747</v>
      </c>
      <c r="R82" s="26">
        <v>272.73680000000002</v>
      </c>
      <c r="S82" s="28">
        <f t="shared" ref="S82" si="32">R82/R81-1</f>
        <v>7.2847405983139657E-2</v>
      </c>
      <c r="T82" s="27">
        <v>42835.208500000001</v>
      </c>
      <c r="U82" s="28">
        <f t="shared" ref="U82" si="33">T82/T81-1</f>
        <v>7.3152989558937342E-2</v>
      </c>
      <c r="W82" s="29"/>
      <c r="X82" s="30"/>
      <c r="Y82" s="31"/>
      <c r="Z82" s="32"/>
      <c r="AA82" s="31"/>
      <c r="AC82" s="25">
        <v>45747</v>
      </c>
      <c r="AD82" s="26">
        <v>231.86859999999999</v>
      </c>
      <c r="AE82" s="28">
        <v>8.6546553976670992E-2</v>
      </c>
      <c r="AF82" s="27">
        <v>42835.208500000001</v>
      </c>
      <c r="AG82" s="28">
        <v>4.4239302686448267E-2</v>
      </c>
    </row>
    <row r="83" spans="17:33" x14ac:dyDescent="0.25">
      <c r="Q83" s="25">
        <v>45777</v>
      </c>
      <c r="R83" s="26">
        <v>279.8177</v>
      </c>
      <c r="S83" s="28">
        <v>2.5962393047069598E-2</v>
      </c>
      <c r="T83" s="27">
        <v>44195.9715</v>
      </c>
      <c r="U83" s="28">
        <v>3.1767395272512822E-2</v>
      </c>
      <c r="AC83" s="25">
        <v>45777</v>
      </c>
      <c r="AD83" s="26">
        <v>235.35910000000001</v>
      </c>
      <c r="AE83" s="28">
        <v>1.5053784772927514E-2</v>
      </c>
      <c r="AF83" s="27">
        <v>44195.9715</v>
      </c>
      <c r="AG83" s="28">
        <v>3.1767395272512822E-2</v>
      </c>
    </row>
    <row r="84" spans="17:33" x14ac:dyDescent="0.25">
      <c r="Q84" s="25">
        <v>45808</v>
      </c>
      <c r="R84" s="26">
        <v>289.80020000000002</v>
      </c>
      <c r="S84" s="28">
        <v>3.5675012695765895E-2</v>
      </c>
      <c r="T84" s="27">
        <v>45761.725299999998</v>
      </c>
      <c r="U84" s="28">
        <v>3.5427523071870803E-2</v>
      </c>
      <c r="AC84" s="25">
        <v>45808</v>
      </c>
      <c r="AD84" s="26">
        <v>241.36699999999999</v>
      </c>
      <c r="AE84" s="28">
        <v>2.5526525211899465E-2</v>
      </c>
      <c r="AF84" s="27">
        <v>45761.725299999998</v>
      </c>
      <c r="AG84" s="28">
        <v>3.5427523071870803E-2</v>
      </c>
    </row>
    <row r="85" spans="17:33" x14ac:dyDescent="0.25">
      <c r="Q85" s="25">
        <v>45838</v>
      </c>
      <c r="R85" s="26">
        <v>302.21600000000001</v>
      </c>
      <c r="S85" s="28">
        <v>4.2842620536493792E-2</v>
      </c>
      <c r="T85" s="27">
        <v>47447.448100000001</v>
      </c>
      <c r="U85" s="28">
        <v>3.6836959029602045E-2</v>
      </c>
      <c r="AC85" s="25">
        <v>45838</v>
      </c>
      <c r="AD85" s="26">
        <v>254.04750000000001</v>
      </c>
      <c r="AE85" s="28">
        <v>5.253617934514665E-2</v>
      </c>
      <c r="AF85" s="27">
        <v>47447.448100000001</v>
      </c>
      <c r="AG85" s="28">
        <v>3.6836959029602045E-2</v>
      </c>
    </row>
    <row r="86" spans="17:33" x14ac:dyDescent="0.25">
      <c r="Q86" s="25">
        <v>45869</v>
      </c>
      <c r="R86" s="26">
        <v>293.96969999999999</v>
      </c>
      <c r="S86" s="28">
        <v>-2.7286113243508048E-2</v>
      </c>
      <c r="T86" s="27">
        <v>46160.076800000003</v>
      </c>
      <c r="U86" s="28">
        <v>-2.7132571962284247E-2</v>
      </c>
      <c r="AC86" s="25">
        <v>45869</v>
      </c>
      <c r="AD86" s="26">
        <v>241.255</v>
      </c>
      <c r="AE86" s="28">
        <v>-5.0354756492388297E-2</v>
      </c>
      <c r="AF86" s="27">
        <v>46160.076800000003</v>
      </c>
      <c r="AG86" s="28">
        <v>-2.7132571962284247E-2</v>
      </c>
    </row>
    <row r="87" spans="17:33" x14ac:dyDescent="0.25">
      <c r="Q87" s="25">
        <v>45900</v>
      </c>
      <c r="R87" s="26">
        <v>289.18189999999998</v>
      </c>
      <c r="S87" s="28">
        <v>-1.6286712542142978E-2</v>
      </c>
      <c r="T87" s="27">
        <v>45353.5432</v>
      </c>
      <c r="U87" s="28">
        <v>-1.7472535920910803E-2</v>
      </c>
      <c r="AC87" s="25">
        <v>45900</v>
      </c>
      <c r="AD87" s="26">
        <v>234.97370000000001</v>
      </c>
      <c r="AE87" s="28">
        <v>-2.6035937079024185E-2</v>
      </c>
      <c r="AF87" s="27">
        <v>45353.5432</v>
      </c>
      <c r="AG87" s="28">
        <v>-1.7472535920910803E-2</v>
      </c>
    </row>
    <row r="88" spans="17:33" x14ac:dyDescent="0.25">
      <c r="Q88" s="25">
        <v>45930</v>
      </c>
      <c r="R88" s="26">
        <v>288.0455</v>
      </c>
      <c r="S88" s="28">
        <v>-3.9297065272756448E-3</v>
      </c>
      <c r="T88" s="27">
        <v>45914.575299999997</v>
      </c>
      <c r="U88" s="28">
        <v>1.2370193383259176E-2</v>
      </c>
      <c r="AC88" s="25">
        <v>45930</v>
      </c>
      <c r="AD88" s="26">
        <v>228.49289999999999</v>
      </c>
      <c r="AE88" s="28">
        <v>-2.7580959060524712E-2</v>
      </c>
      <c r="AF88" s="27">
        <v>45914.575299999997</v>
      </c>
      <c r="AG88" s="28">
        <v>1.2370193383259176E-2</v>
      </c>
    </row>
    <row r="89" spans="17:33" x14ac:dyDescent="0.25">
      <c r="Q89" s="25">
        <v>45961</v>
      </c>
      <c r="R89" s="26">
        <v>299.34930000000003</v>
      </c>
      <c r="S89" s="28">
        <v>3.924310568989986E-2</v>
      </c>
      <c r="T89" s="27">
        <v>47876.898500000003</v>
      </c>
      <c r="U89" s="28">
        <v>4.2738568029398794E-2</v>
      </c>
      <c r="AC89" s="25">
        <v>45961</v>
      </c>
      <c r="AD89" s="26">
        <v>238.05289999999999</v>
      </c>
      <c r="AE89" s="28">
        <v>4.1839374440081123E-2</v>
      </c>
      <c r="AF89" s="27">
        <v>47876.898500000003</v>
      </c>
      <c r="AG89" s="28">
        <v>4.2738568029398794E-2</v>
      </c>
    </row>
    <row r="90" spans="17:33" x14ac:dyDescent="0.25">
      <c r="Q90" s="25">
        <v>45991</v>
      </c>
      <c r="R90" s="26">
        <v>301.62090000000001</v>
      </c>
      <c r="S90" s="28">
        <v>7.5884593683699375E-3</v>
      </c>
      <c r="T90" s="27">
        <v>48334.99</v>
      </c>
      <c r="U90" s="28">
        <v>9.5681114347871965E-3</v>
      </c>
      <c r="AC90" s="25">
        <v>45991</v>
      </c>
      <c r="AD90" s="26">
        <v>237.6344</v>
      </c>
      <c r="AE90" s="28">
        <v>-1.7580126098022397E-3</v>
      </c>
      <c r="AF90" s="27">
        <v>48334.99</v>
      </c>
      <c r="AG90" s="28">
        <v>9.5681114347871965E-3</v>
      </c>
    </row>
    <row r="91" spans="17:33" x14ac:dyDescent="0.25">
      <c r="Q91" s="25">
        <v>46022</v>
      </c>
      <c r="R91" s="26">
        <v>296.84410000000003</v>
      </c>
      <c r="S91" s="28">
        <v>-1.5837098821732787E-2</v>
      </c>
      <c r="T91" s="27">
        <v>48220.752699999997</v>
      </c>
      <c r="U91" s="28">
        <v>-2.363449335564205E-3</v>
      </c>
      <c r="AC91" s="25">
        <v>46022</v>
      </c>
      <c r="AD91" s="26">
        <v>232.4725</v>
      </c>
      <c r="AE91" s="28">
        <v>-2.1722023410752023E-2</v>
      </c>
      <c r="AF91" s="27">
        <v>48220.752699999997</v>
      </c>
      <c r="AG91" s="28">
        <v>-2.363449335564205E-3</v>
      </c>
    </row>
    <row r="92" spans="17:33" x14ac:dyDescent="0.25">
      <c r="Q92" s="25">
        <v>46053</v>
      </c>
      <c r="R92" s="26">
        <v>284.56209999999999</v>
      </c>
      <c r="S92" s="28">
        <v>-4.1375253879056495E-2</v>
      </c>
      <c r="T92" s="27">
        <v>46610.612699999998</v>
      </c>
      <c r="U92" s="28">
        <v>-3.3391017556637981E-2</v>
      </c>
      <c r="AC92" s="25">
        <v>46053</v>
      </c>
      <c r="AD92" s="26">
        <v>222.49119999999999</v>
      </c>
      <c r="AE92" s="28">
        <v>-4.2935400961404024E-2</v>
      </c>
      <c r="AF92" s="27">
        <v>46610.612699999998</v>
      </c>
      <c r="AG92" s="28">
        <v>-3.3391017556637981E-2</v>
      </c>
    </row>
  </sheetData>
  <mergeCells count="5">
    <mergeCell ref="A1:G1"/>
    <mergeCell ref="I1:O1"/>
    <mergeCell ref="Q1:U1"/>
    <mergeCell ref="W1:AA1"/>
    <mergeCell ref="AC1:A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3A4FB-C2D0-409B-A293-1EF24A09CC8B}">
  <dimension ref="A1:N42"/>
  <sheetViews>
    <sheetView workbookViewId="0">
      <pane ySplit="2" topLeftCell="A3" activePane="bottomLeft" state="frozen"/>
      <selection pane="bottomLeft" sqref="A1:F1"/>
    </sheetView>
  </sheetViews>
  <sheetFormatPr defaultRowHeight="13.5" x14ac:dyDescent="0.25"/>
  <cols>
    <col min="1" max="1" width="9.7109375" style="1" bestFit="1" customWidth="1"/>
    <col min="2" max="2" width="30" style="1" customWidth="1"/>
    <col min="3" max="3" width="17.7109375" style="1" customWidth="1"/>
    <col min="4" max="4" width="13.85546875" style="1" bestFit="1" customWidth="1"/>
    <col min="5" max="5" width="7.5703125" style="1" bestFit="1" customWidth="1"/>
    <col min="6" max="6" width="23.140625" style="1" bestFit="1" customWidth="1"/>
    <col min="7" max="7" width="4.28515625" style="1" customWidth="1"/>
    <col min="8" max="8" width="17" style="1" bestFit="1" customWidth="1"/>
    <col min="9" max="9" width="12.140625" style="1" customWidth="1"/>
    <col min="10" max="10" width="9.140625" style="1"/>
    <col min="11" max="11" width="3.140625" style="1" customWidth="1"/>
    <col min="12" max="12" width="12.140625" style="1" customWidth="1"/>
    <col min="13" max="13" width="14.140625" style="1" customWidth="1"/>
    <col min="14" max="16384" width="9.140625" style="1"/>
  </cols>
  <sheetData>
    <row r="1" spans="1:14" ht="15" x14ac:dyDescent="0.25">
      <c r="A1" s="47" t="s">
        <v>0</v>
      </c>
      <c r="B1" s="47"/>
      <c r="C1" s="47"/>
      <c r="D1" s="47"/>
      <c r="E1" s="47"/>
      <c r="F1" s="47"/>
      <c r="M1" s="49" t="s">
        <v>262</v>
      </c>
      <c r="N1" s="49"/>
    </row>
    <row r="2" spans="1:14" ht="38.25" x14ac:dyDescent="0.25">
      <c r="A2" s="2" t="s">
        <v>1</v>
      </c>
      <c r="B2" s="2" t="s">
        <v>2</v>
      </c>
      <c r="C2" s="2" t="s">
        <v>3</v>
      </c>
      <c r="D2" s="2" t="s">
        <v>4</v>
      </c>
      <c r="E2" s="2" t="s">
        <v>5</v>
      </c>
      <c r="F2" s="2" t="s">
        <v>6</v>
      </c>
      <c r="H2" s="3" t="s">
        <v>135</v>
      </c>
      <c r="I2" s="3" t="s">
        <v>0</v>
      </c>
      <c r="J2" s="3" t="s">
        <v>136</v>
      </c>
      <c r="L2" s="3" t="s">
        <v>137</v>
      </c>
      <c r="M2" s="3" t="s">
        <v>0</v>
      </c>
      <c r="N2" s="3" t="s">
        <v>136</v>
      </c>
    </row>
    <row r="3" spans="1:14" x14ac:dyDescent="0.25">
      <c r="A3" s="4">
        <v>46022</v>
      </c>
      <c r="B3" s="5" t="s">
        <v>11</v>
      </c>
      <c r="C3" s="5" t="s">
        <v>12</v>
      </c>
      <c r="D3" s="5" t="s">
        <v>13</v>
      </c>
      <c r="E3" s="6">
        <v>9.4291447491654051E-2</v>
      </c>
      <c r="F3" s="5" t="s">
        <v>10</v>
      </c>
      <c r="H3" s="7" t="s">
        <v>138</v>
      </c>
      <c r="I3" s="8">
        <v>0.11251234472576324</v>
      </c>
      <c r="J3" s="8">
        <v>0.11427761999999995</v>
      </c>
      <c r="L3" s="7" t="s">
        <v>139</v>
      </c>
      <c r="M3" s="8">
        <v>0.75716281156795406</v>
      </c>
      <c r="N3" s="8">
        <v>0.7158501500000003</v>
      </c>
    </row>
    <row r="4" spans="1:14" x14ac:dyDescent="0.25">
      <c r="A4" s="4">
        <v>46022</v>
      </c>
      <c r="B4" s="5" t="s">
        <v>7</v>
      </c>
      <c r="C4" s="5" t="s">
        <v>8</v>
      </c>
      <c r="D4" s="5" t="s">
        <v>9</v>
      </c>
      <c r="E4" s="6">
        <v>7.8963684126497388E-2</v>
      </c>
      <c r="F4" s="5" t="s">
        <v>10</v>
      </c>
      <c r="H4" s="7" t="s">
        <v>140</v>
      </c>
      <c r="I4" s="8">
        <v>6.9764888400554004E-2</v>
      </c>
      <c r="J4" s="8">
        <v>8.7656849999999994E-2</v>
      </c>
      <c r="L4" s="7" t="s">
        <v>141</v>
      </c>
      <c r="M4" s="8">
        <v>0.1532531987734998</v>
      </c>
      <c r="N4" s="8">
        <v>0.18515037000000001</v>
      </c>
    </row>
    <row r="5" spans="1:14" x14ac:dyDescent="0.25">
      <c r="A5" s="4">
        <v>46022</v>
      </c>
      <c r="B5" s="5" t="s">
        <v>18</v>
      </c>
      <c r="C5" s="5" t="s">
        <v>19</v>
      </c>
      <c r="D5" s="5" t="s">
        <v>20</v>
      </c>
      <c r="E5" s="6">
        <v>6.1209678018551157E-2</v>
      </c>
      <c r="F5" s="5" t="s">
        <v>21</v>
      </c>
      <c r="H5" s="7" t="s">
        <v>10</v>
      </c>
      <c r="I5" s="8">
        <v>0.37331795703917864</v>
      </c>
      <c r="J5" s="8">
        <v>0.31055860000000002</v>
      </c>
      <c r="L5" s="7" t="s">
        <v>142</v>
      </c>
      <c r="M5" s="8">
        <v>8.3416482790012514E-2</v>
      </c>
      <c r="N5" s="8">
        <v>9.8999510000000054E-2</v>
      </c>
    </row>
    <row r="6" spans="1:14" x14ac:dyDescent="0.25">
      <c r="A6" s="4">
        <v>46022</v>
      </c>
      <c r="B6" s="5" t="s">
        <v>25</v>
      </c>
      <c r="C6" s="5" t="s">
        <v>26</v>
      </c>
      <c r="D6" s="5" t="s">
        <v>27</v>
      </c>
      <c r="E6" s="6">
        <v>5.1707649743937552E-2</v>
      </c>
      <c r="F6" s="5" t="s">
        <v>10</v>
      </c>
      <c r="H6" s="7" t="s">
        <v>46</v>
      </c>
      <c r="I6" s="8">
        <v>0.11384329241764461</v>
      </c>
      <c r="J6" s="8">
        <v>0.11089299000000002</v>
      </c>
      <c r="L6" s="7" t="s">
        <v>133</v>
      </c>
      <c r="M6" s="9">
        <v>6.167506868533356E-3</v>
      </c>
      <c r="N6" s="9">
        <v>0</v>
      </c>
    </row>
    <row r="7" spans="1:14" x14ac:dyDescent="0.25">
      <c r="A7" s="4">
        <v>46022</v>
      </c>
      <c r="B7" s="5" t="s">
        <v>39</v>
      </c>
      <c r="C7" s="5" t="s">
        <v>40</v>
      </c>
      <c r="D7" s="5" t="s">
        <v>41</v>
      </c>
      <c r="E7" s="6">
        <v>3.7632420012941148E-2</v>
      </c>
      <c r="F7" s="5" t="s">
        <v>42</v>
      </c>
      <c r="H7" s="7" t="s">
        <v>80</v>
      </c>
      <c r="I7" s="8">
        <v>3.5088860333145989E-2</v>
      </c>
      <c r="J7" s="8">
        <v>9.4425240000000077E-2</v>
      </c>
      <c r="L7" s="50" t="s">
        <v>372</v>
      </c>
      <c r="M7" s="50"/>
      <c r="N7" s="50"/>
    </row>
    <row r="8" spans="1:14" x14ac:dyDescent="0.25">
      <c r="A8" s="4">
        <v>46022</v>
      </c>
      <c r="B8" s="5" t="s">
        <v>57</v>
      </c>
      <c r="C8" s="5" t="s">
        <v>58</v>
      </c>
      <c r="D8" s="5" t="s">
        <v>59</v>
      </c>
      <c r="E8" s="6">
        <v>3.6288429451895907E-2</v>
      </c>
      <c r="F8" s="5" t="s">
        <v>46</v>
      </c>
      <c r="H8" s="7" t="s">
        <v>42</v>
      </c>
      <c r="I8" s="8">
        <v>3.446696154909528E-2</v>
      </c>
      <c r="J8" s="8">
        <v>7.3570860000000002E-2</v>
      </c>
    </row>
    <row r="9" spans="1:14" x14ac:dyDescent="0.25">
      <c r="A9" s="4">
        <v>46022</v>
      </c>
      <c r="B9" s="5" t="s">
        <v>22</v>
      </c>
      <c r="C9" s="5" t="s">
        <v>23</v>
      </c>
      <c r="D9" s="5" t="s">
        <v>24</v>
      </c>
      <c r="E9" s="6">
        <v>3.5770221053969563E-2</v>
      </c>
      <c r="F9" s="5" t="s">
        <v>10</v>
      </c>
      <c r="H9" s="7" t="s">
        <v>87</v>
      </c>
      <c r="I9" s="8">
        <v>3.6163996402154279E-2</v>
      </c>
      <c r="J9" s="8">
        <v>3.5213910000000001E-2</v>
      </c>
      <c r="L9" s="48" t="s">
        <v>242</v>
      </c>
      <c r="M9" s="48"/>
      <c r="N9" s="10">
        <v>522727.00790003402</v>
      </c>
    </row>
    <row r="10" spans="1:14" x14ac:dyDescent="0.25">
      <c r="A10" s="4">
        <v>46022</v>
      </c>
      <c r="B10" s="5" t="s">
        <v>30</v>
      </c>
      <c r="C10" s="5" t="s">
        <v>31</v>
      </c>
      <c r="D10" s="5" t="s">
        <v>32</v>
      </c>
      <c r="E10" s="6">
        <v>3.5121782409028177E-2</v>
      </c>
      <c r="F10" s="5" t="s">
        <v>33</v>
      </c>
      <c r="H10" s="7" t="s">
        <v>56</v>
      </c>
      <c r="I10" s="8">
        <v>8.1779790961590451E-2</v>
      </c>
      <c r="J10" s="8">
        <v>6.1354979999999983E-2</v>
      </c>
      <c r="L10" s="50" t="s">
        <v>372</v>
      </c>
      <c r="M10" s="50"/>
      <c r="N10" s="50"/>
    </row>
    <row r="11" spans="1:14" x14ac:dyDescent="0.25">
      <c r="A11" s="4">
        <v>46022</v>
      </c>
      <c r="B11" s="5" t="s">
        <v>28</v>
      </c>
      <c r="C11" s="5" t="s">
        <v>29</v>
      </c>
      <c r="D11" s="5" t="s">
        <v>348</v>
      </c>
      <c r="E11" s="6">
        <v>3.1698584382279495E-2</v>
      </c>
      <c r="F11" s="5" t="s">
        <v>21</v>
      </c>
      <c r="H11" s="7" t="s">
        <v>33</v>
      </c>
      <c r="I11" s="8">
        <v>4.925936652832099E-2</v>
      </c>
      <c r="J11" s="8">
        <v>6.2283560000000009E-2</v>
      </c>
      <c r="L11" s="48" t="s">
        <v>134</v>
      </c>
      <c r="M11" s="48"/>
      <c r="N11" s="10">
        <v>154370.5078312</v>
      </c>
    </row>
    <row r="12" spans="1:14" x14ac:dyDescent="0.25">
      <c r="A12" s="4">
        <v>46022</v>
      </c>
      <c r="B12" s="5" t="s">
        <v>47</v>
      </c>
      <c r="C12" s="5" t="s">
        <v>48</v>
      </c>
      <c r="D12" s="5" t="s">
        <v>49</v>
      </c>
      <c r="E12" s="6">
        <v>3.0181470175715881E-2</v>
      </c>
      <c r="F12" s="5" t="s">
        <v>10</v>
      </c>
      <c r="H12" s="7" t="s">
        <v>143</v>
      </c>
      <c r="I12" s="8">
        <v>7.6765904260178139E-2</v>
      </c>
      <c r="J12" s="8">
        <v>3.9581239999999997E-2</v>
      </c>
      <c r="L12" s="50" t="s">
        <v>372</v>
      </c>
      <c r="M12" s="50"/>
      <c r="N12" s="50"/>
    </row>
    <row r="13" spans="1:14" x14ac:dyDescent="0.25">
      <c r="A13" s="4">
        <v>46022</v>
      </c>
      <c r="B13" s="5" t="s">
        <v>50</v>
      </c>
      <c r="C13" s="5" t="s">
        <v>51</v>
      </c>
      <c r="D13" s="5" t="s">
        <v>52</v>
      </c>
      <c r="E13" s="6">
        <v>2.812231488132147E-2</v>
      </c>
      <c r="F13" s="5" t="s">
        <v>35</v>
      </c>
      <c r="H13" s="7" t="s">
        <v>144</v>
      </c>
      <c r="I13" s="8">
        <v>1.0869130513840766E-2</v>
      </c>
      <c r="J13" s="8">
        <v>1.0184179999999998E-2</v>
      </c>
    </row>
    <row r="14" spans="1:14" x14ac:dyDescent="0.25">
      <c r="A14" s="4">
        <v>46022</v>
      </c>
      <c r="B14" s="5" t="s">
        <v>305</v>
      </c>
      <c r="C14" s="5" t="s">
        <v>306</v>
      </c>
      <c r="D14" s="5" t="s">
        <v>34</v>
      </c>
      <c r="E14" s="6">
        <v>2.5221670192023021E-2</v>
      </c>
      <c r="F14" s="5" t="s">
        <v>35</v>
      </c>
      <c r="H14" s="50" t="s">
        <v>372</v>
      </c>
      <c r="I14" s="50"/>
      <c r="J14" s="50"/>
    </row>
    <row r="15" spans="1:14" x14ac:dyDescent="0.25">
      <c r="A15" s="4">
        <v>46022</v>
      </c>
      <c r="B15" s="5" t="s">
        <v>97</v>
      </c>
      <c r="C15" s="5" t="s">
        <v>98</v>
      </c>
      <c r="D15" s="5" t="s">
        <v>99</v>
      </c>
      <c r="E15" s="6">
        <v>2.3798079431679456E-2</v>
      </c>
      <c r="F15" s="5" t="s">
        <v>56</v>
      </c>
    </row>
    <row r="16" spans="1:14" x14ac:dyDescent="0.25">
      <c r="A16" s="4">
        <v>46022</v>
      </c>
      <c r="B16" s="5" t="s">
        <v>106</v>
      </c>
      <c r="C16" s="5" t="s">
        <v>107</v>
      </c>
      <c r="D16" s="5" t="s">
        <v>108</v>
      </c>
      <c r="E16" s="6">
        <v>2.2857848775037652E-2</v>
      </c>
      <c r="F16" s="5" t="s">
        <v>46</v>
      </c>
    </row>
    <row r="17" spans="1:6" x14ac:dyDescent="0.25">
      <c r="A17" s="4">
        <v>46022</v>
      </c>
      <c r="B17" s="5" t="s">
        <v>88</v>
      </c>
      <c r="C17" s="5" t="s">
        <v>89</v>
      </c>
      <c r="D17" s="5" t="s">
        <v>90</v>
      </c>
      <c r="E17" s="6">
        <v>2.0990613444704452E-2</v>
      </c>
      <c r="F17" s="5" t="s">
        <v>35</v>
      </c>
    </row>
    <row r="18" spans="1:6" x14ac:dyDescent="0.25">
      <c r="A18" s="4">
        <v>46022</v>
      </c>
      <c r="B18" s="5" t="s">
        <v>100</v>
      </c>
      <c r="C18" s="5" t="s">
        <v>101</v>
      </c>
      <c r="D18" s="5" t="s">
        <v>102</v>
      </c>
      <c r="E18" s="6">
        <v>2.0670201209437761E-2</v>
      </c>
      <c r="F18" s="5" t="s">
        <v>56</v>
      </c>
    </row>
    <row r="19" spans="1:6" x14ac:dyDescent="0.25">
      <c r="A19" s="4">
        <v>46022</v>
      </c>
      <c r="B19" s="5" t="s">
        <v>62</v>
      </c>
      <c r="C19" s="5" t="s">
        <v>63</v>
      </c>
      <c r="D19" s="5" t="s">
        <v>64</v>
      </c>
      <c r="E19" s="6">
        <v>2.0646893411556323E-2</v>
      </c>
      <c r="F19" s="5" t="s">
        <v>17</v>
      </c>
    </row>
    <row r="20" spans="1:6" x14ac:dyDescent="0.25">
      <c r="A20" s="4">
        <v>46022</v>
      </c>
      <c r="B20" s="5" t="s">
        <v>53</v>
      </c>
      <c r="C20" s="5" t="s">
        <v>54</v>
      </c>
      <c r="D20" s="5" t="s">
        <v>55</v>
      </c>
      <c r="E20" s="6">
        <v>1.9560976057858673E-2</v>
      </c>
      <c r="F20" s="5" t="s">
        <v>56</v>
      </c>
    </row>
    <row r="21" spans="1:6" x14ac:dyDescent="0.25">
      <c r="A21" s="4">
        <v>46022</v>
      </c>
      <c r="B21" s="5" t="s">
        <v>91</v>
      </c>
      <c r="C21" s="5" t="s">
        <v>92</v>
      </c>
      <c r="D21" s="5" t="s">
        <v>93</v>
      </c>
      <c r="E21" s="6">
        <v>1.8611634312521001E-2</v>
      </c>
      <c r="F21" s="5" t="s">
        <v>56</v>
      </c>
    </row>
    <row r="22" spans="1:6" x14ac:dyDescent="0.25">
      <c r="A22" s="4">
        <v>46022</v>
      </c>
      <c r="B22" s="5" t="s">
        <v>14</v>
      </c>
      <c r="C22" s="5" t="s">
        <v>15</v>
      </c>
      <c r="D22" s="5" t="s">
        <v>16</v>
      </c>
      <c r="E22" s="6">
        <v>1.8491220194351277E-2</v>
      </c>
      <c r="F22" s="5" t="s">
        <v>17</v>
      </c>
    </row>
    <row r="23" spans="1:6" x14ac:dyDescent="0.25">
      <c r="A23" s="4">
        <v>46022</v>
      </c>
      <c r="B23" s="5" t="s">
        <v>118</v>
      </c>
      <c r="C23" s="5" t="s">
        <v>119</v>
      </c>
      <c r="D23" s="5" t="s">
        <v>120</v>
      </c>
      <c r="E23" s="6">
        <v>1.8338502536246342E-2</v>
      </c>
      <c r="F23" s="5" t="s">
        <v>80</v>
      </c>
    </row>
    <row r="24" spans="1:6" x14ac:dyDescent="0.25">
      <c r="A24" s="4">
        <v>46022</v>
      </c>
      <c r="B24" s="5" t="s">
        <v>112</v>
      </c>
      <c r="C24" s="5" t="s">
        <v>113</v>
      </c>
      <c r="D24" s="5" t="s">
        <v>114</v>
      </c>
      <c r="E24" s="6">
        <v>1.8229849887481313E-2</v>
      </c>
      <c r="F24" s="5" t="s">
        <v>46</v>
      </c>
    </row>
    <row r="25" spans="1:6" x14ac:dyDescent="0.25">
      <c r="A25" s="4">
        <v>46022</v>
      </c>
      <c r="B25" s="5" t="s">
        <v>84</v>
      </c>
      <c r="C25" s="5" t="s">
        <v>85</v>
      </c>
      <c r="D25" s="5" t="s">
        <v>86</v>
      </c>
      <c r="E25" s="6">
        <v>1.8162560026159905E-2</v>
      </c>
      <c r="F25" s="5" t="s">
        <v>87</v>
      </c>
    </row>
    <row r="26" spans="1:6" x14ac:dyDescent="0.25">
      <c r="A26" s="4">
        <v>46022</v>
      </c>
      <c r="B26" s="5" t="s">
        <v>109</v>
      </c>
      <c r="C26" s="5" t="s">
        <v>110</v>
      </c>
      <c r="D26" s="5" t="s">
        <v>111</v>
      </c>
      <c r="E26" s="6">
        <v>1.7557988098016401E-2</v>
      </c>
      <c r="F26" s="5" t="s">
        <v>87</v>
      </c>
    </row>
    <row r="27" spans="1:6" x14ac:dyDescent="0.25">
      <c r="A27" s="4">
        <v>46022</v>
      </c>
      <c r="B27" s="5" t="s">
        <v>81</v>
      </c>
      <c r="C27" s="5" t="s">
        <v>82</v>
      </c>
      <c r="D27" s="5" t="s">
        <v>83</v>
      </c>
      <c r="E27" s="6">
        <v>1.7507890070485987E-2</v>
      </c>
      <c r="F27" s="5" t="s">
        <v>46</v>
      </c>
    </row>
    <row r="28" spans="1:6" x14ac:dyDescent="0.25">
      <c r="A28" s="4">
        <v>46022</v>
      </c>
      <c r="B28" s="5" t="s">
        <v>115</v>
      </c>
      <c r="C28" s="5" t="s">
        <v>116</v>
      </c>
      <c r="D28" s="5" t="s">
        <v>117</v>
      </c>
      <c r="E28" s="6">
        <v>1.727534346384307E-2</v>
      </c>
      <c r="F28" s="5" t="s">
        <v>35</v>
      </c>
    </row>
    <row r="29" spans="1:6" x14ac:dyDescent="0.25">
      <c r="A29" s="4">
        <v>46022</v>
      </c>
      <c r="B29" s="5" t="s">
        <v>43</v>
      </c>
      <c r="C29" s="5" t="s">
        <v>44</v>
      </c>
      <c r="D29" s="5" t="s">
        <v>45</v>
      </c>
      <c r="E29" s="6">
        <v>1.6935479119012182E-2</v>
      </c>
      <c r="F29" s="5" t="s">
        <v>46</v>
      </c>
    </row>
    <row r="30" spans="1:6" x14ac:dyDescent="0.25">
      <c r="A30" s="4">
        <v>46022</v>
      </c>
      <c r="B30" s="5" t="s">
        <v>154</v>
      </c>
      <c r="C30" s="5" t="s">
        <v>155</v>
      </c>
      <c r="D30" s="5" t="s">
        <v>156</v>
      </c>
      <c r="E30" s="6">
        <v>1.5284565399677007E-2</v>
      </c>
      <c r="F30" s="5" t="s">
        <v>10</v>
      </c>
    </row>
    <row r="31" spans="1:6" x14ac:dyDescent="0.25">
      <c r="A31" s="4">
        <v>46022</v>
      </c>
      <c r="B31" s="5" t="s">
        <v>77</v>
      </c>
      <c r="C31" s="5" t="s">
        <v>78</v>
      </c>
      <c r="D31" s="5" t="s">
        <v>79</v>
      </c>
      <c r="E31" s="6">
        <v>1.4801561056124186E-2</v>
      </c>
      <c r="F31" s="5" t="s">
        <v>80</v>
      </c>
    </row>
    <row r="32" spans="1:6" x14ac:dyDescent="0.25">
      <c r="A32" s="4">
        <v>46022</v>
      </c>
      <c r="B32" s="5" t="s">
        <v>124</v>
      </c>
      <c r="C32" s="5" t="s">
        <v>125</v>
      </c>
      <c r="D32" s="5" t="s">
        <v>126</v>
      </c>
      <c r="E32" s="6">
        <v>1.436491310239694E-2</v>
      </c>
      <c r="F32" s="5" t="s">
        <v>35</v>
      </c>
    </row>
    <row r="33" spans="1:6" x14ac:dyDescent="0.25">
      <c r="A33" s="4">
        <v>46022</v>
      </c>
      <c r="B33" s="5" t="s">
        <v>94</v>
      </c>
      <c r="C33" s="5" t="s">
        <v>95</v>
      </c>
      <c r="D33" s="5" t="s">
        <v>96</v>
      </c>
      <c r="E33" s="6">
        <v>1.3440379309302794E-2</v>
      </c>
      <c r="F33" s="5" t="s">
        <v>10</v>
      </c>
    </row>
    <row r="34" spans="1:6" x14ac:dyDescent="0.25">
      <c r="A34" s="4">
        <v>46022</v>
      </c>
      <c r="B34" s="5" t="s">
        <v>60</v>
      </c>
      <c r="C34" s="5" t="s">
        <v>61</v>
      </c>
      <c r="D34" s="5" t="s">
        <v>349</v>
      </c>
      <c r="E34" s="6">
        <v>1.3427502606352892E-2</v>
      </c>
      <c r="F34" s="5" t="s">
        <v>17</v>
      </c>
    </row>
    <row r="35" spans="1:6" x14ac:dyDescent="0.25">
      <c r="A35" s="4">
        <v>46022</v>
      </c>
      <c r="B35" s="5" t="s">
        <v>121</v>
      </c>
      <c r="C35" s="5" t="s">
        <v>122</v>
      </c>
      <c r="D35" s="5" t="s">
        <v>123</v>
      </c>
      <c r="E35" s="6">
        <v>1.3288568223963543E-2</v>
      </c>
      <c r="F35" s="5" t="s">
        <v>10</v>
      </c>
    </row>
    <row r="36" spans="1:6" x14ac:dyDescent="0.25">
      <c r="A36" s="4">
        <v>46022</v>
      </c>
      <c r="B36" s="5" t="s">
        <v>36</v>
      </c>
      <c r="C36" s="5" t="s">
        <v>37</v>
      </c>
      <c r="D36" s="5" t="s">
        <v>38</v>
      </c>
      <c r="E36" s="6">
        <v>1.3134108701959997E-2</v>
      </c>
      <c r="F36" s="5" t="s">
        <v>10</v>
      </c>
    </row>
    <row r="37" spans="1:6" x14ac:dyDescent="0.25">
      <c r="A37" s="4">
        <v>46022</v>
      </c>
      <c r="B37" s="5" t="s">
        <v>71</v>
      </c>
      <c r="C37" s="5" t="s">
        <v>72</v>
      </c>
      <c r="D37" s="5" t="s">
        <v>73</v>
      </c>
      <c r="E37" s="6">
        <v>1.2519766006010211E-2</v>
      </c>
      <c r="F37" s="5" t="s">
        <v>17</v>
      </c>
    </row>
    <row r="38" spans="1:6" x14ac:dyDescent="0.25">
      <c r="A38" s="4">
        <v>46022</v>
      </c>
      <c r="B38" s="5" t="s">
        <v>103</v>
      </c>
      <c r="C38" s="5" t="s">
        <v>104</v>
      </c>
      <c r="D38" s="5" t="s">
        <v>105</v>
      </c>
      <c r="E38" s="6">
        <v>1.2133497318255346E-2</v>
      </c>
      <c r="F38" s="5" t="s">
        <v>33</v>
      </c>
    </row>
    <row r="39" spans="1:6" x14ac:dyDescent="0.25">
      <c r="A39" s="4">
        <v>46022</v>
      </c>
      <c r="B39" s="5" t="s">
        <v>336</v>
      </c>
      <c r="C39" s="5" t="s">
        <v>337</v>
      </c>
      <c r="D39" s="5" t="s">
        <v>338</v>
      </c>
      <c r="E39" s="6">
        <v>1.1698670286237589E-2</v>
      </c>
      <c r="F39" s="5" t="s">
        <v>144</v>
      </c>
    </row>
    <row r="40" spans="1:6" x14ac:dyDescent="0.25">
      <c r="A40" s="4">
        <v>46022</v>
      </c>
      <c r="B40" s="5" t="s">
        <v>350</v>
      </c>
      <c r="C40" s="5" t="s">
        <v>351</v>
      </c>
      <c r="D40" s="5" t="s">
        <v>352</v>
      </c>
      <c r="E40" s="6">
        <v>1.0369873729221655E-2</v>
      </c>
      <c r="F40" s="5" t="s">
        <v>10</v>
      </c>
    </row>
    <row r="41" spans="1:6" x14ac:dyDescent="0.25">
      <c r="A41" s="4">
        <v>46022</v>
      </c>
      <c r="B41" s="5" t="s">
        <v>127</v>
      </c>
      <c r="C41" s="5" t="s">
        <v>128</v>
      </c>
      <c r="D41" s="5" t="s">
        <v>129</v>
      </c>
      <c r="E41" s="6">
        <v>7.7834203326948501E-3</v>
      </c>
      <c r="F41" s="5" t="s">
        <v>17</v>
      </c>
    </row>
    <row r="42" spans="1:6" x14ac:dyDescent="0.25">
      <c r="A42" s="4">
        <v>46022</v>
      </c>
      <c r="B42" s="5" t="s">
        <v>133</v>
      </c>
      <c r="C42" s="5" t="s">
        <v>133</v>
      </c>
      <c r="D42" s="5" t="s">
        <v>133</v>
      </c>
      <c r="E42" s="6">
        <v>1.190874194959619E-2</v>
      </c>
      <c r="F42" s="5" t="s">
        <v>133</v>
      </c>
    </row>
  </sheetData>
  <autoFilter ref="A2:F42" xr:uid="{AF93A4FB-C2D0-409B-A293-1EF24A09CC8B}"/>
  <mergeCells count="8">
    <mergeCell ref="A1:F1"/>
    <mergeCell ref="L9:M9"/>
    <mergeCell ref="L11:M11"/>
    <mergeCell ref="M1:N1"/>
    <mergeCell ref="H14:J14"/>
    <mergeCell ref="L7:N7"/>
    <mergeCell ref="L12:N12"/>
    <mergeCell ref="L10:N10"/>
  </mergeCells>
  <conditionalFormatting sqref="B1:B1048576">
    <cfRule type="duplicateValues" dxfId="7" priority="1"/>
  </conditionalFormatting>
  <conditionalFormatting sqref="D1:D1048576">
    <cfRule type="duplicateValues" dxfId="6" priority="2"/>
  </conditionalFormatting>
  <hyperlinks>
    <hyperlink ref="M1:N1" location="Index!A1" display="Back to Index" xr:uid="{18A3DCC7-6656-4A10-841A-B7F6D21D45E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5304-C3B0-4B70-BC74-EE39A85479FD}">
  <dimension ref="A1:N39"/>
  <sheetViews>
    <sheetView workbookViewId="0">
      <pane ySplit="2" topLeftCell="A3" activePane="bottomLeft" state="frozen"/>
      <selection pane="bottomLeft" sqref="A1:F1"/>
    </sheetView>
  </sheetViews>
  <sheetFormatPr defaultRowHeight="13.5" x14ac:dyDescent="0.25"/>
  <cols>
    <col min="1" max="1" width="9.7109375" style="1" bestFit="1" customWidth="1"/>
    <col min="2" max="2" width="30" style="1" customWidth="1"/>
    <col min="3" max="3" width="17.7109375" style="1" customWidth="1"/>
    <col min="4" max="4" width="13.85546875" style="1" bestFit="1" customWidth="1"/>
    <col min="5" max="5" width="7.5703125" style="1" bestFit="1" customWidth="1"/>
    <col min="6" max="6" width="23.140625" style="1" bestFit="1" customWidth="1"/>
    <col min="7" max="7" width="4.28515625" style="1" customWidth="1"/>
    <col min="8" max="8" width="17" style="1" bestFit="1" customWidth="1"/>
    <col min="9" max="9" width="12.140625" style="1" customWidth="1"/>
    <col min="10" max="10" width="9.140625" style="1"/>
    <col min="11" max="11" width="3.140625" style="1" customWidth="1"/>
    <col min="12" max="12" width="12.140625" style="1" customWidth="1"/>
    <col min="13" max="13" width="14.140625" style="1" customWidth="1"/>
    <col min="14" max="16384" width="9.140625" style="1"/>
  </cols>
  <sheetData>
    <row r="1" spans="1:14" ht="15" x14ac:dyDescent="0.25">
      <c r="A1" s="47" t="s">
        <v>145</v>
      </c>
      <c r="B1" s="47"/>
      <c r="C1" s="47"/>
      <c r="D1" s="47"/>
      <c r="E1" s="47"/>
      <c r="F1" s="47"/>
      <c r="M1" s="49" t="s">
        <v>262</v>
      </c>
      <c r="N1" s="49"/>
    </row>
    <row r="2" spans="1:14" ht="51" x14ac:dyDescent="0.25">
      <c r="A2" s="2" t="s">
        <v>1</v>
      </c>
      <c r="B2" s="2" t="s">
        <v>2</v>
      </c>
      <c r="C2" s="2" t="s">
        <v>3</v>
      </c>
      <c r="D2" s="2" t="s">
        <v>4</v>
      </c>
      <c r="E2" s="2" t="s">
        <v>5</v>
      </c>
      <c r="F2" s="2" t="s">
        <v>6</v>
      </c>
      <c r="H2" s="3" t="s">
        <v>135</v>
      </c>
      <c r="I2" s="3" t="s">
        <v>145</v>
      </c>
      <c r="J2" s="3" t="s">
        <v>136</v>
      </c>
      <c r="L2" s="3" t="s">
        <v>137</v>
      </c>
      <c r="M2" s="3" t="s">
        <v>145</v>
      </c>
      <c r="N2" s="3" t="s">
        <v>136</v>
      </c>
    </row>
    <row r="3" spans="1:14" x14ac:dyDescent="0.25">
      <c r="A3" s="4">
        <v>46022</v>
      </c>
      <c r="B3" s="5" t="s">
        <v>18</v>
      </c>
      <c r="C3" s="5" t="s">
        <v>19</v>
      </c>
      <c r="D3" s="5" t="s">
        <v>20</v>
      </c>
      <c r="E3" s="6">
        <v>9.6298466249111606E-2</v>
      </c>
      <c r="F3" s="5" t="s">
        <v>21</v>
      </c>
      <c r="H3" s="7" t="s">
        <v>138</v>
      </c>
      <c r="I3" s="8">
        <v>0.15286848857468885</v>
      </c>
      <c r="J3" s="8">
        <v>0.11427761999999995</v>
      </c>
      <c r="L3" s="7" t="s">
        <v>139</v>
      </c>
      <c r="M3" s="8">
        <v>0.38237967988376503</v>
      </c>
      <c r="N3" s="8">
        <v>0.7158501500000003</v>
      </c>
    </row>
    <row r="4" spans="1:14" x14ac:dyDescent="0.25">
      <c r="A4" s="4">
        <v>46022</v>
      </c>
      <c r="B4" s="5" t="s">
        <v>28</v>
      </c>
      <c r="C4" s="5" t="s">
        <v>29</v>
      </c>
      <c r="D4" s="5" t="s">
        <v>348</v>
      </c>
      <c r="E4" s="6">
        <v>8.8430103137531801E-2</v>
      </c>
      <c r="F4" s="5" t="s">
        <v>21</v>
      </c>
      <c r="H4" s="7" t="s">
        <v>140</v>
      </c>
      <c r="I4" s="8">
        <v>0.19004621644413563</v>
      </c>
      <c r="J4" s="8">
        <v>8.7656849999999994E-2</v>
      </c>
      <c r="L4" s="7" t="s">
        <v>141</v>
      </c>
      <c r="M4" s="8">
        <v>0.2303024037420284</v>
      </c>
      <c r="N4" s="8">
        <v>0.18515037000000001</v>
      </c>
    </row>
    <row r="5" spans="1:14" x14ac:dyDescent="0.25">
      <c r="A5" s="4">
        <v>46022</v>
      </c>
      <c r="B5" s="5" t="s">
        <v>11</v>
      </c>
      <c r="C5" s="5" t="s">
        <v>12</v>
      </c>
      <c r="D5" s="5" t="s">
        <v>13</v>
      </c>
      <c r="E5" s="6">
        <v>8.6692887944937361E-2</v>
      </c>
      <c r="F5" s="5" t="s">
        <v>10</v>
      </c>
      <c r="H5" s="7" t="s">
        <v>10</v>
      </c>
      <c r="I5" s="8">
        <v>0.29343870182434484</v>
      </c>
      <c r="J5" s="8">
        <v>0.31055860000000002</v>
      </c>
      <c r="L5" s="7" t="s">
        <v>142</v>
      </c>
      <c r="M5" s="8">
        <v>0.38440961105182736</v>
      </c>
      <c r="N5" s="8">
        <v>9.8999510000000054E-2</v>
      </c>
    </row>
    <row r="6" spans="1:14" x14ac:dyDescent="0.25">
      <c r="A6" s="4">
        <v>46022</v>
      </c>
      <c r="B6" s="5" t="s">
        <v>7</v>
      </c>
      <c r="C6" s="5" t="s">
        <v>8</v>
      </c>
      <c r="D6" s="5" t="s">
        <v>9</v>
      </c>
      <c r="E6" s="6">
        <v>7.5994289342353041E-2</v>
      </c>
      <c r="F6" s="5" t="s">
        <v>10</v>
      </c>
      <c r="H6" s="7" t="s">
        <v>46</v>
      </c>
      <c r="I6" s="8">
        <v>0.14416217142505544</v>
      </c>
      <c r="J6" s="8">
        <v>0.11089299000000002</v>
      </c>
      <c r="L6" s="7" t="s">
        <v>133</v>
      </c>
      <c r="M6" s="9">
        <v>2.9083053223794594E-3</v>
      </c>
      <c r="N6" s="9">
        <v>0</v>
      </c>
    </row>
    <row r="7" spans="1:14" x14ac:dyDescent="0.25">
      <c r="A7" s="4">
        <v>46022</v>
      </c>
      <c r="B7" s="5" t="s">
        <v>149</v>
      </c>
      <c r="C7" s="5" t="s">
        <v>150</v>
      </c>
      <c r="D7" s="5" t="s">
        <v>362</v>
      </c>
      <c r="E7" s="6">
        <v>6.2370971703958777E-2</v>
      </c>
      <c r="F7" s="5" t="s">
        <v>46</v>
      </c>
      <c r="H7" s="7" t="s">
        <v>80</v>
      </c>
      <c r="I7" s="8">
        <v>9.5578650166999839E-3</v>
      </c>
      <c r="J7" s="8">
        <v>9.4425240000000077E-2</v>
      </c>
      <c r="L7" s="50" t="s">
        <v>372</v>
      </c>
      <c r="M7" s="50"/>
      <c r="N7" s="50"/>
    </row>
    <row r="8" spans="1:14" x14ac:dyDescent="0.25">
      <c r="A8" s="4">
        <v>46022</v>
      </c>
      <c r="B8" s="5" t="s">
        <v>305</v>
      </c>
      <c r="C8" s="5" t="s">
        <v>306</v>
      </c>
      <c r="D8" s="5" t="s">
        <v>34</v>
      </c>
      <c r="E8" s="6">
        <v>5.2440708753785661E-2</v>
      </c>
      <c r="F8" s="5" t="s">
        <v>35</v>
      </c>
      <c r="H8" s="7" t="s">
        <v>42</v>
      </c>
      <c r="I8" s="8">
        <v>0</v>
      </c>
      <c r="J8" s="8">
        <v>7.3570860000000002E-2</v>
      </c>
    </row>
    <row r="9" spans="1:14" x14ac:dyDescent="0.25">
      <c r="A9" s="4">
        <v>46022</v>
      </c>
      <c r="B9" s="5" t="s">
        <v>22</v>
      </c>
      <c r="C9" s="5" t="s">
        <v>23</v>
      </c>
      <c r="D9" s="5" t="s">
        <v>24</v>
      </c>
      <c r="E9" s="6">
        <v>4.2690074854421341E-2</v>
      </c>
      <c r="F9" s="5" t="s">
        <v>10</v>
      </c>
      <c r="H9" s="7" t="s">
        <v>87</v>
      </c>
      <c r="I9" s="8">
        <v>0</v>
      </c>
      <c r="J9" s="8">
        <v>3.5213910000000001E-2</v>
      </c>
      <c r="L9" s="48" t="s">
        <v>242</v>
      </c>
      <c r="M9" s="48"/>
      <c r="N9" s="10">
        <v>356497.79755273234</v>
      </c>
    </row>
    <row r="10" spans="1:14" x14ac:dyDescent="0.25">
      <c r="A10" s="4">
        <v>46022</v>
      </c>
      <c r="B10" s="5" t="s">
        <v>62</v>
      </c>
      <c r="C10" s="5" t="s">
        <v>63</v>
      </c>
      <c r="D10" s="5" t="s">
        <v>64</v>
      </c>
      <c r="E10" s="6">
        <v>3.8488039918692804E-2</v>
      </c>
      <c r="F10" s="5" t="s">
        <v>17</v>
      </c>
      <c r="H10" s="7" t="s">
        <v>56</v>
      </c>
      <c r="I10" s="8">
        <v>4.0178855859754628E-2</v>
      </c>
      <c r="J10" s="8">
        <v>6.1354979999999983E-2</v>
      </c>
      <c r="L10" s="50" t="s">
        <v>372</v>
      </c>
      <c r="M10" s="50"/>
      <c r="N10" s="50"/>
    </row>
    <row r="11" spans="1:14" x14ac:dyDescent="0.25">
      <c r="A11" s="4">
        <v>46022</v>
      </c>
      <c r="B11" s="5" t="s">
        <v>151</v>
      </c>
      <c r="C11" s="5" t="s">
        <v>152</v>
      </c>
      <c r="D11" s="5" t="s">
        <v>153</v>
      </c>
      <c r="E11" s="6">
        <v>2.9580323957779518E-2</v>
      </c>
      <c r="F11" s="5" t="s">
        <v>17</v>
      </c>
      <c r="H11" s="7" t="s">
        <v>33</v>
      </c>
      <c r="I11" s="8">
        <v>0</v>
      </c>
      <c r="J11" s="8">
        <v>6.2283560000000009E-2</v>
      </c>
      <c r="L11" s="48" t="s">
        <v>134</v>
      </c>
      <c r="M11" s="48"/>
      <c r="N11" s="10">
        <v>21893.591457299997</v>
      </c>
    </row>
    <row r="12" spans="1:14" x14ac:dyDescent="0.25">
      <c r="A12" s="4">
        <v>46022</v>
      </c>
      <c r="B12" s="5" t="s">
        <v>160</v>
      </c>
      <c r="C12" s="5" t="s">
        <v>161</v>
      </c>
      <c r="D12" s="5" t="s">
        <v>162</v>
      </c>
      <c r="E12" s="6">
        <v>2.6288592982407284E-2</v>
      </c>
      <c r="F12" s="5" t="s">
        <v>46</v>
      </c>
      <c r="H12" s="7" t="s">
        <v>143</v>
      </c>
      <c r="I12" s="8">
        <v>0.16683939553294144</v>
      </c>
      <c r="J12" s="8">
        <v>3.9581239999999997E-2</v>
      </c>
      <c r="L12" s="50" t="s">
        <v>372</v>
      </c>
      <c r="M12" s="50"/>
      <c r="N12" s="50"/>
    </row>
    <row r="13" spans="1:14" x14ac:dyDescent="0.25">
      <c r="A13" s="4">
        <v>46022</v>
      </c>
      <c r="B13" s="5" t="s">
        <v>124</v>
      </c>
      <c r="C13" s="5" t="s">
        <v>125</v>
      </c>
      <c r="D13" s="5" t="s">
        <v>126</v>
      </c>
      <c r="E13" s="6">
        <v>2.2789833899102416E-2</v>
      </c>
      <c r="F13" s="5" t="s">
        <v>35</v>
      </c>
      <c r="H13" s="7" t="s">
        <v>144</v>
      </c>
      <c r="I13" s="8">
        <v>0</v>
      </c>
      <c r="J13" s="8">
        <v>1.0184179999999998E-2</v>
      </c>
    </row>
    <row r="14" spans="1:14" x14ac:dyDescent="0.25">
      <c r="A14" s="4">
        <v>46022</v>
      </c>
      <c r="B14" s="5" t="s">
        <v>71</v>
      </c>
      <c r="C14" s="5" t="s">
        <v>72</v>
      </c>
      <c r="D14" s="5" t="s">
        <v>73</v>
      </c>
      <c r="E14" s="6">
        <v>2.2674287395259014E-2</v>
      </c>
      <c r="F14" s="5" t="s">
        <v>17</v>
      </c>
      <c r="H14" s="50" t="s">
        <v>372</v>
      </c>
      <c r="I14" s="50"/>
      <c r="J14" s="50"/>
    </row>
    <row r="15" spans="1:14" x14ac:dyDescent="0.25">
      <c r="A15" s="4">
        <v>46022</v>
      </c>
      <c r="B15" s="5" t="s">
        <v>166</v>
      </c>
      <c r="C15" s="5" t="s">
        <v>167</v>
      </c>
      <c r="D15" s="5" t="s">
        <v>168</v>
      </c>
      <c r="E15" s="6">
        <v>2.2644317362122409E-2</v>
      </c>
      <c r="F15" s="5" t="s">
        <v>56</v>
      </c>
    </row>
    <row r="16" spans="1:14" x14ac:dyDescent="0.25">
      <c r="A16" s="4">
        <v>46022</v>
      </c>
      <c r="B16" s="5" t="s">
        <v>323</v>
      </c>
      <c r="C16" s="5" t="s">
        <v>324</v>
      </c>
      <c r="D16" s="5" t="s">
        <v>325</v>
      </c>
      <c r="E16" s="6">
        <v>2.0930563295491478E-2</v>
      </c>
      <c r="F16" s="5" t="s">
        <v>46</v>
      </c>
    </row>
    <row r="17" spans="1:6" x14ac:dyDescent="0.25">
      <c r="A17" s="4">
        <v>46022</v>
      </c>
      <c r="B17" s="5" t="s">
        <v>154</v>
      </c>
      <c r="C17" s="5" t="s">
        <v>155</v>
      </c>
      <c r="D17" s="5" t="s">
        <v>156</v>
      </c>
      <c r="E17" s="6">
        <v>2.0795944311158224E-2</v>
      </c>
      <c r="F17" s="5" t="s">
        <v>10</v>
      </c>
    </row>
    <row r="18" spans="1:6" x14ac:dyDescent="0.25">
      <c r="A18" s="4">
        <v>46022</v>
      </c>
      <c r="B18" s="5" t="s">
        <v>175</v>
      </c>
      <c r="C18" s="5" t="s">
        <v>176</v>
      </c>
      <c r="D18" s="5" t="s">
        <v>177</v>
      </c>
      <c r="E18" s="6">
        <v>1.9500210489251765E-2</v>
      </c>
      <c r="F18" s="5" t="s">
        <v>46</v>
      </c>
    </row>
    <row r="19" spans="1:6" x14ac:dyDescent="0.25">
      <c r="A19" s="4">
        <v>46022</v>
      </c>
      <c r="B19" s="5" t="s">
        <v>60</v>
      </c>
      <c r="C19" s="5" t="s">
        <v>61</v>
      </c>
      <c r="D19" s="5" t="s">
        <v>349</v>
      </c>
      <c r="E19" s="6">
        <v>1.9154857523742772E-2</v>
      </c>
      <c r="F19" s="5" t="s">
        <v>17</v>
      </c>
    </row>
    <row r="20" spans="1:6" x14ac:dyDescent="0.25">
      <c r="A20" s="4">
        <v>46022</v>
      </c>
      <c r="B20" s="5" t="s">
        <v>146</v>
      </c>
      <c r="C20" s="5" t="s">
        <v>147</v>
      </c>
      <c r="D20" s="5" t="s">
        <v>148</v>
      </c>
      <c r="E20" s="6">
        <v>1.9137033500740606E-2</v>
      </c>
      <c r="F20" s="5" t="s">
        <v>35</v>
      </c>
    </row>
    <row r="21" spans="1:6" x14ac:dyDescent="0.25">
      <c r="A21" s="4">
        <v>46022</v>
      </c>
      <c r="B21" s="5" t="s">
        <v>342</v>
      </c>
      <c r="C21" s="5" t="s">
        <v>343</v>
      </c>
      <c r="D21" s="5" t="s">
        <v>344</v>
      </c>
      <c r="E21" s="6">
        <v>1.7966099580293913E-2</v>
      </c>
      <c r="F21" s="5" t="s">
        <v>10</v>
      </c>
    </row>
    <row r="22" spans="1:6" x14ac:dyDescent="0.25">
      <c r="A22" s="4">
        <v>46022</v>
      </c>
      <c r="B22" s="5" t="s">
        <v>127</v>
      </c>
      <c r="C22" s="5" t="s">
        <v>128</v>
      </c>
      <c r="D22" s="5" t="s">
        <v>129</v>
      </c>
      <c r="E22" s="6">
        <v>1.7902008569209947E-2</v>
      </c>
      <c r="F22" s="5" t="s">
        <v>17</v>
      </c>
    </row>
    <row r="23" spans="1:6" x14ac:dyDescent="0.25">
      <c r="A23" s="4">
        <v>46022</v>
      </c>
      <c r="B23" s="5" t="s">
        <v>339</v>
      </c>
      <c r="C23" s="5" t="s">
        <v>340</v>
      </c>
      <c r="D23" s="5" t="s">
        <v>341</v>
      </c>
      <c r="E23" s="6">
        <v>1.6922820085291529E-2</v>
      </c>
      <c r="F23" s="5" t="s">
        <v>35</v>
      </c>
    </row>
    <row r="24" spans="1:6" x14ac:dyDescent="0.25">
      <c r="A24" s="4">
        <v>46022</v>
      </c>
      <c r="B24" s="5" t="s">
        <v>172</v>
      </c>
      <c r="C24" s="5" t="s">
        <v>173</v>
      </c>
      <c r="D24" s="5" t="s">
        <v>174</v>
      </c>
      <c r="E24" s="6">
        <v>1.6080130325370031E-2</v>
      </c>
      <c r="F24" s="5" t="s">
        <v>35</v>
      </c>
    </row>
    <row r="25" spans="1:6" x14ac:dyDescent="0.25">
      <c r="A25" s="4">
        <v>46022</v>
      </c>
      <c r="B25" s="5" t="s">
        <v>353</v>
      </c>
      <c r="C25" s="5" t="s">
        <v>354</v>
      </c>
      <c r="D25" s="5" t="s">
        <v>355</v>
      </c>
      <c r="E25" s="6">
        <v>1.5315590477461631E-2</v>
      </c>
      <c r="F25" s="5" t="s">
        <v>17</v>
      </c>
    </row>
    <row r="26" spans="1:6" x14ac:dyDescent="0.25">
      <c r="A26" s="4">
        <v>46022</v>
      </c>
      <c r="B26" s="5" t="s">
        <v>356</v>
      </c>
      <c r="C26" s="5" t="s">
        <v>357</v>
      </c>
      <c r="D26" s="5" t="s">
        <v>358</v>
      </c>
      <c r="E26" s="6">
        <v>1.4868083359701719E-2</v>
      </c>
      <c r="F26" s="5" t="s">
        <v>35</v>
      </c>
    </row>
    <row r="27" spans="1:6" x14ac:dyDescent="0.25">
      <c r="A27" s="4">
        <v>46022</v>
      </c>
      <c r="B27" s="5" t="s">
        <v>310</v>
      </c>
      <c r="C27" s="5" t="s">
        <v>311</v>
      </c>
      <c r="D27" s="5" t="s">
        <v>312</v>
      </c>
      <c r="E27" s="6">
        <v>1.4859048618481507E-2</v>
      </c>
      <c r="F27" s="5" t="s">
        <v>35</v>
      </c>
    </row>
    <row r="28" spans="1:6" x14ac:dyDescent="0.25">
      <c r="A28" s="4">
        <v>46022</v>
      </c>
      <c r="B28" s="5" t="s">
        <v>184</v>
      </c>
      <c r="C28" s="5" t="s">
        <v>185</v>
      </c>
      <c r="D28" s="5" t="s">
        <v>186</v>
      </c>
      <c r="E28" s="6">
        <v>1.1474071975643374E-2</v>
      </c>
      <c r="F28" s="5" t="s">
        <v>10</v>
      </c>
    </row>
    <row r="29" spans="1:6" x14ac:dyDescent="0.25">
      <c r="A29" s="4">
        <v>46022</v>
      </c>
      <c r="B29" s="5" t="s">
        <v>330</v>
      </c>
      <c r="C29" s="5" t="s">
        <v>331</v>
      </c>
      <c r="D29" s="5" t="s">
        <v>332</v>
      </c>
      <c r="E29" s="6">
        <v>1.0850660936187494E-2</v>
      </c>
      <c r="F29" s="5" t="s">
        <v>56</v>
      </c>
    </row>
    <row r="30" spans="1:6" x14ac:dyDescent="0.25">
      <c r="A30" s="4">
        <v>46022</v>
      </c>
      <c r="B30" s="5" t="s">
        <v>363</v>
      </c>
      <c r="C30" s="5" t="s">
        <v>364</v>
      </c>
      <c r="D30" s="5" t="s">
        <v>365</v>
      </c>
      <c r="E30" s="6">
        <v>1.0502138652017807E-2</v>
      </c>
      <c r="F30" s="5" t="s">
        <v>46</v>
      </c>
    </row>
    <row r="31" spans="1:6" x14ac:dyDescent="0.25">
      <c r="A31" s="4">
        <v>46022</v>
      </c>
      <c r="B31" s="5" t="s">
        <v>313</v>
      </c>
      <c r="C31" s="5" t="s">
        <v>314</v>
      </c>
      <c r="D31" s="5" t="s">
        <v>315</v>
      </c>
      <c r="E31" s="6">
        <v>1.044200955376341E-2</v>
      </c>
      <c r="F31" s="5" t="s">
        <v>17</v>
      </c>
    </row>
    <row r="32" spans="1:6" x14ac:dyDescent="0.25">
      <c r="A32" s="4">
        <v>46022</v>
      </c>
      <c r="B32" s="5" t="s">
        <v>163</v>
      </c>
      <c r="C32" s="5" t="s">
        <v>164</v>
      </c>
      <c r="D32" s="5" t="s">
        <v>165</v>
      </c>
      <c r="E32" s="6">
        <v>1.0336470459431472E-2</v>
      </c>
      <c r="F32" s="5" t="s">
        <v>35</v>
      </c>
    </row>
    <row r="33" spans="1:6" x14ac:dyDescent="0.25">
      <c r="A33" s="4">
        <v>46022</v>
      </c>
      <c r="B33" s="5" t="s">
        <v>169</v>
      </c>
      <c r="C33" s="5" t="s">
        <v>170</v>
      </c>
      <c r="D33" s="5" t="s">
        <v>171</v>
      </c>
      <c r="E33" s="6">
        <v>1.0299139464520013E-2</v>
      </c>
      <c r="F33" s="5" t="s">
        <v>21</v>
      </c>
    </row>
    <row r="34" spans="1:6" x14ac:dyDescent="0.25">
      <c r="A34" s="4">
        <v>46022</v>
      </c>
      <c r="B34" s="5" t="s">
        <v>157</v>
      </c>
      <c r="C34" s="5" t="s">
        <v>158</v>
      </c>
      <c r="D34" s="5" t="s">
        <v>159</v>
      </c>
      <c r="E34" s="6">
        <v>1.0201721691946957E-2</v>
      </c>
      <c r="F34" s="5" t="s">
        <v>56</v>
      </c>
    </row>
    <row r="35" spans="1:6" x14ac:dyDescent="0.25">
      <c r="A35" s="4">
        <v>46022</v>
      </c>
      <c r="B35" s="5" t="s">
        <v>359</v>
      </c>
      <c r="C35" s="5" t="s">
        <v>360</v>
      </c>
      <c r="D35" s="5" t="s">
        <v>361</v>
      </c>
      <c r="E35" s="6">
        <v>9.8360463777739989E-3</v>
      </c>
      <c r="F35" s="5" t="s">
        <v>35</v>
      </c>
    </row>
    <row r="36" spans="1:6" x14ac:dyDescent="0.25">
      <c r="A36" s="4">
        <v>46022</v>
      </c>
      <c r="B36" s="5" t="s">
        <v>366</v>
      </c>
      <c r="C36" s="5" t="s">
        <v>367</v>
      </c>
      <c r="D36" s="5" t="s">
        <v>368</v>
      </c>
      <c r="E36" s="6">
        <v>9.640629911957346E-3</v>
      </c>
      <c r="F36" s="5" t="s">
        <v>10</v>
      </c>
    </row>
    <row r="37" spans="1:6" x14ac:dyDescent="0.25">
      <c r="A37" s="4">
        <v>46022</v>
      </c>
      <c r="B37" s="5" t="s">
        <v>321</v>
      </c>
      <c r="C37" s="5" t="s">
        <v>320</v>
      </c>
      <c r="D37" s="5" t="s">
        <v>322</v>
      </c>
      <c r="E37" s="6">
        <v>8.3323491628339644E-3</v>
      </c>
      <c r="F37" s="5" t="s">
        <v>17</v>
      </c>
    </row>
    <row r="38" spans="1:6" x14ac:dyDescent="0.25">
      <c r="A38" s="4">
        <v>46022</v>
      </c>
      <c r="B38" s="5" t="s">
        <v>181</v>
      </c>
      <c r="C38" s="5" t="s">
        <v>182</v>
      </c>
      <c r="D38" s="5" t="s">
        <v>183</v>
      </c>
      <c r="E38" s="6">
        <v>6.9861226416543338E-3</v>
      </c>
      <c r="F38" s="5" t="s">
        <v>17</v>
      </c>
    </row>
    <row r="39" spans="1:6" x14ac:dyDescent="0.25">
      <c r="A39" s="4">
        <v>46022</v>
      </c>
      <c r="B39" s="5" t="s">
        <v>133</v>
      </c>
      <c r="C39" s="5" t="s">
        <v>133</v>
      </c>
      <c r="D39" s="5" t="s">
        <v>133</v>
      </c>
      <c r="E39" s="6">
        <v>1.028335153461162E-2</v>
      </c>
      <c r="F39" s="5" t="s">
        <v>133</v>
      </c>
    </row>
  </sheetData>
  <autoFilter ref="A2:F37" xr:uid="{16F95304-C3B0-4B70-BC74-EE39A85479FD}"/>
  <mergeCells count="8">
    <mergeCell ref="A1:F1"/>
    <mergeCell ref="L9:M9"/>
    <mergeCell ref="L11:M11"/>
    <mergeCell ref="M1:N1"/>
    <mergeCell ref="H14:J14"/>
    <mergeCell ref="L7:N7"/>
    <mergeCell ref="L10:N10"/>
    <mergeCell ref="L12:N12"/>
  </mergeCells>
  <conditionalFormatting sqref="B1:B1048576">
    <cfRule type="duplicateValues" dxfId="5" priority="2"/>
  </conditionalFormatting>
  <conditionalFormatting sqref="D1:D1048576">
    <cfRule type="duplicateValues" dxfId="4" priority="1"/>
  </conditionalFormatting>
  <hyperlinks>
    <hyperlink ref="M1:N1" location="Index!A1" display="Back to Index" xr:uid="{318C5118-7D50-484B-9734-C4FA1807DD6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EC98-1224-4C35-B844-987EE0A01768}">
  <dimension ref="A1:N71"/>
  <sheetViews>
    <sheetView workbookViewId="0">
      <pane ySplit="2" topLeftCell="A3" activePane="bottomLeft" state="frozen"/>
      <selection activeCell="M1" sqref="M1:N1"/>
      <selection pane="bottomLeft" sqref="A1:F1"/>
    </sheetView>
  </sheetViews>
  <sheetFormatPr defaultRowHeight="13.5" x14ac:dyDescent="0.25"/>
  <cols>
    <col min="1" max="1" width="9.7109375" style="1" bestFit="1" customWidth="1"/>
    <col min="2" max="2" width="30" style="1" customWidth="1"/>
    <col min="3" max="3" width="17.7109375" style="1" customWidth="1"/>
    <col min="4" max="4" width="13.85546875" style="1" bestFit="1" customWidth="1"/>
    <col min="5" max="5" width="7.5703125" style="1" bestFit="1" customWidth="1"/>
    <col min="6" max="6" width="23.140625" style="1" bestFit="1" customWidth="1"/>
    <col min="7" max="7" width="4.28515625" style="1" customWidth="1"/>
    <col min="8" max="8" width="17" style="1" bestFit="1" customWidth="1"/>
    <col min="9" max="9" width="12.140625" style="1" customWidth="1"/>
    <col min="10" max="10" width="9.140625" style="1"/>
    <col min="11" max="11" width="3.140625" style="1" customWidth="1"/>
    <col min="12" max="12" width="12.140625" style="1" customWidth="1"/>
    <col min="13" max="13" width="14.140625" style="1" customWidth="1"/>
    <col min="14" max="16384" width="9.140625" style="1"/>
  </cols>
  <sheetData>
    <row r="1" spans="1:14" ht="15" x14ac:dyDescent="0.25">
      <c r="A1" s="47" t="s">
        <v>187</v>
      </c>
      <c r="B1" s="47"/>
      <c r="C1" s="47"/>
      <c r="D1" s="47"/>
      <c r="E1" s="47"/>
      <c r="F1" s="47"/>
      <c r="M1" s="49" t="s">
        <v>262</v>
      </c>
      <c r="N1" s="49"/>
    </row>
    <row r="2" spans="1:14" ht="51" x14ac:dyDescent="0.25">
      <c r="A2" s="2" t="s">
        <v>1</v>
      </c>
      <c r="B2" s="2" t="s">
        <v>2</v>
      </c>
      <c r="C2" s="2" t="s">
        <v>3</v>
      </c>
      <c r="D2" s="2" t="s">
        <v>4</v>
      </c>
      <c r="E2" s="2" t="s">
        <v>5</v>
      </c>
      <c r="F2" s="2" t="s">
        <v>6</v>
      </c>
      <c r="H2" s="3" t="s">
        <v>135</v>
      </c>
      <c r="I2" s="3" t="s">
        <v>187</v>
      </c>
      <c r="J2" s="3" t="s">
        <v>136</v>
      </c>
      <c r="L2" s="3" t="s">
        <v>137</v>
      </c>
      <c r="M2" s="3" t="s">
        <v>187</v>
      </c>
      <c r="N2" s="3" t="s">
        <v>136</v>
      </c>
    </row>
    <row r="3" spans="1:14" x14ac:dyDescent="0.25">
      <c r="A3" s="4">
        <v>46022</v>
      </c>
      <c r="B3" s="5" t="s">
        <v>11</v>
      </c>
      <c r="C3" s="5" t="s">
        <v>12</v>
      </c>
      <c r="D3" s="5" t="s">
        <v>13</v>
      </c>
      <c r="E3" s="6">
        <v>8.938566818828389E-2</v>
      </c>
      <c r="F3" s="5" t="s">
        <v>10</v>
      </c>
      <c r="H3" s="7" t="s">
        <v>138</v>
      </c>
      <c r="I3" s="8">
        <v>0.1510897039008908</v>
      </c>
      <c r="J3" s="8">
        <v>0.11427761999999995</v>
      </c>
      <c r="L3" s="7" t="s">
        <v>139</v>
      </c>
      <c r="M3" s="8">
        <v>0.58872793194330642</v>
      </c>
      <c r="N3" s="8">
        <v>0.7158501500000003</v>
      </c>
    </row>
    <row r="4" spans="1:14" x14ac:dyDescent="0.25">
      <c r="A4" s="4">
        <v>46022</v>
      </c>
      <c r="B4" s="5" t="s">
        <v>7</v>
      </c>
      <c r="C4" s="5" t="s">
        <v>8</v>
      </c>
      <c r="D4" s="5" t="s">
        <v>9</v>
      </c>
      <c r="E4" s="6">
        <v>7.503365545797927E-2</v>
      </c>
      <c r="F4" s="5" t="s">
        <v>10</v>
      </c>
      <c r="H4" s="7" t="s">
        <v>140</v>
      </c>
      <c r="I4" s="8">
        <v>5.1831493183987304E-2</v>
      </c>
      <c r="J4" s="8">
        <v>8.7656849999999994E-2</v>
      </c>
      <c r="L4" s="7" t="s">
        <v>141</v>
      </c>
      <c r="M4" s="8">
        <v>0.11993752106619142</v>
      </c>
      <c r="N4" s="8">
        <v>0.18515037000000001</v>
      </c>
    </row>
    <row r="5" spans="1:14" x14ac:dyDescent="0.25">
      <c r="A5" s="4">
        <v>46022</v>
      </c>
      <c r="B5" s="5" t="s">
        <v>18</v>
      </c>
      <c r="C5" s="5" t="s">
        <v>19</v>
      </c>
      <c r="D5" s="5" t="s">
        <v>20</v>
      </c>
      <c r="E5" s="6">
        <v>4.8452110047011672E-2</v>
      </c>
      <c r="F5" s="5" t="s">
        <v>21</v>
      </c>
      <c r="H5" s="7" t="s">
        <v>10</v>
      </c>
      <c r="I5" s="8">
        <v>0.35496553495645194</v>
      </c>
      <c r="J5" s="8">
        <v>0.31055860000000002</v>
      </c>
      <c r="L5" s="7" t="s">
        <v>142</v>
      </c>
      <c r="M5" s="8">
        <v>0.27097191123410042</v>
      </c>
      <c r="N5" s="8">
        <v>9.8999510000000054E-2</v>
      </c>
    </row>
    <row r="6" spans="1:14" x14ac:dyDescent="0.25">
      <c r="A6" s="4">
        <v>46022</v>
      </c>
      <c r="B6" s="5" t="s">
        <v>25</v>
      </c>
      <c r="C6" s="5" t="s">
        <v>26</v>
      </c>
      <c r="D6" s="5" t="s">
        <v>27</v>
      </c>
      <c r="E6" s="6">
        <v>4.2823315411526612E-2</v>
      </c>
      <c r="F6" s="5" t="s">
        <v>10</v>
      </c>
      <c r="H6" s="7" t="s">
        <v>46</v>
      </c>
      <c r="I6" s="8">
        <v>0.1092521671781391</v>
      </c>
      <c r="J6" s="8">
        <v>0.11089299000000002</v>
      </c>
      <c r="L6" s="7" t="s">
        <v>133</v>
      </c>
      <c r="M6" s="9">
        <v>2.0362635756401522E-2</v>
      </c>
      <c r="N6" s="9">
        <v>0</v>
      </c>
    </row>
    <row r="7" spans="1:14" x14ac:dyDescent="0.25">
      <c r="A7" s="4">
        <v>46022</v>
      </c>
      <c r="B7" s="5" t="s">
        <v>39</v>
      </c>
      <c r="C7" s="5" t="s">
        <v>40</v>
      </c>
      <c r="D7" s="5" t="s">
        <v>41</v>
      </c>
      <c r="E7" s="6">
        <v>3.2452417173294452E-2</v>
      </c>
      <c r="F7" s="5" t="s">
        <v>42</v>
      </c>
      <c r="H7" s="7" t="s">
        <v>80</v>
      </c>
      <c r="I7" s="8">
        <v>3.4521551415156698E-2</v>
      </c>
      <c r="J7" s="8">
        <v>9.4425240000000077E-2</v>
      </c>
      <c r="L7" s="50" t="s">
        <v>329</v>
      </c>
      <c r="M7" s="50"/>
      <c r="N7" s="50"/>
    </row>
    <row r="8" spans="1:14" x14ac:dyDescent="0.25">
      <c r="A8" s="4">
        <v>46022</v>
      </c>
      <c r="B8" s="5" t="s">
        <v>22</v>
      </c>
      <c r="C8" s="5" t="s">
        <v>23</v>
      </c>
      <c r="D8" s="5" t="s">
        <v>24</v>
      </c>
      <c r="E8" s="6">
        <v>3.1748425137280142E-2</v>
      </c>
      <c r="F8" s="5" t="s">
        <v>10</v>
      </c>
      <c r="H8" s="7" t="s">
        <v>42</v>
      </c>
      <c r="I8" s="8">
        <v>3.0134159229986277E-2</v>
      </c>
      <c r="J8" s="8">
        <v>7.3570860000000002E-2</v>
      </c>
    </row>
    <row r="9" spans="1:14" x14ac:dyDescent="0.25">
      <c r="A9" s="4">
        <v>46022</v>
      </c>
      <c r="B9" s="5" t="s">
        <v>47</v>
      </c>
      <c r="C9" s="5" t="s">
        <v>48</v>
      </c>
      <c r="D9" s="5" t="s">
        <v>49</v>
      </c>
      <c r="E9" s="6">
        <v>2.9420110812567561E-2</v>
      </c>
      <c r="F9" s="5" t="s">
        <v>10</v>
      </c>
      <c r="H9" s="7" t="s">
        <v>87</v>
      </c>
      <c r="I9" s="8">
        <v>8.8931540553551982E-3</v>
      </c>
      <c r="J9" s="8">
        <v>3.5213910000000001E-2</v>
      </c>
      <c r="L9" s="48" t="s">
        <v>242</v>
      </c>
      <c r="M9" s="48"/>
      <c r="N9" s="10">
        <v>449591.87398808863</v>
      </c>
    </row>
    <row r="10" spans="1:14" x14ac:dyDescent="0.25">
      <c r="A10" s="4">
        <v>46022</v>
      </c>
      <c r="B10" s="5" t="s">
        <v>50</v>
      </c>
      <c r="C10" s="5" t="s">
        <v>51</v>
      </c>
      <c r="D10" s="5" t="s">
        <v>52</v>
      </c>
      <c r="E10" s="6">
        <v>2.9241673257851084E-2</v>
      </c>
      <c r="F10" s="5" t="s">
        <v>35</v>
      </c>
      <c r="H10" s="7" t="s">
        <v>56</v>
      </c>
      <c r="I10" s="8">
        <v>0.11970009204838074</v>
      </c>
      <c r="J10" s="8">
        <v>6.1354979999999983E-2</v>
      </c>
      <c r="L10" s="50" t="s">
        <v>329</v>
      </c>
      <c r="M10" s="50"/>
      <c r="N10" s="50"/>
    </row>
    <row r="11" spans="1:14" x14ac:dyDescent="0.25">
      <c r="A11" s="4">
        <v>46022</v>
      </c>
      <c r="B11" s="5" t="s">
        <v>28</v>
      </c>
      <c r="C11" s="5" t="s">
        <v>29</v>
      </c>
      <c r="D11" s="5" t="s">
        <v>348</v>
      </c>
      <c r="E11" s="6">
        <v>2.6861213895362803E-2</v>
      </c>
      <c r="F11" s="5" t="s">
        <v>21</v>
      </c>
      <c r="H11" s="7" t="s">
        <v>33</v>
      </c>
      <c r="I11" s="8">
        <v>4.6666934011251819E-2</v>
      </c>
      <c r="J11" s="8">
        <v>6.2283560000000009E-2</v>
      </c>
      <c r="L11" s="48" t="s">
        <v>134</v>
      </c>
      <c r="M11" s="48"/>
      <c r="N11" s="10">
        <v>32930.719833149997</v>
      </c>
    </row>
    <row r="12" spans="1:14" x14ac:dyDescent="0.25">
      <c r="A12" s="4">
        <v>46022</v>
      </c>
      <c r="B12" s="5" t="s">
        <v>305</v>
      </c>
      <c r="C12" s="5" t="s">
        <v>306</v>
      </c>
      <c r="D12" s="5" t="s">
        <v>34</v>
      </c>
      <c r="E12" s="6">
        <v>2.6759524893287239E-2</v>
      </c>
      <c r="F12" s="5" t="s">
        <v>35</v>
      </c>
      <c r="H12" s="7" t="s">
        <v>143</v>
      </c>
      <c r="I12" s="8">
        <v>6.5828599323912496E-2</v>
      </c>
      <c r="J12" s="8">
        <v>3.9581239999999997E-2</v>
      </c>
      <c r="L12" s="50" t="s">
        <v>329</v>
      </c>
      <c r="M12" s="50"/>
      <c r="N12" s="50"/>
    </row>
    <row r="13" spans="1:14" x14ac:dyDescent="0.25">
      <c r="A13" s="4">
        <v>46022</v>
      </c>
      <c r="B13" s="5" t="s">
        <v>57</v>
      </c>
      <c r="C13" s="5" t="s">
        <v>58</v>
      </c>
      <c r="D13" s="5" t="s">
        <v>59</v>
      </c>
      <c r="E13" s="6">
        <v>2.6186460591016612E-2</v>
      </c>
      <c r="F13" s="5" t="s">
        <v>46</v>
      </c>
      <c r="H13" s="7" t="s">
        <v>144</v>
      </c>
      <c r="I13" s="8">
        <v>6.7539749400857187E-3</v>
      </c>
      <c r="J13" s="8">
        <v>1.0184179999999998E-2</v>
      </c>
    </row>
    <row r="14" spans="1:14" x14ac:dyDescent="0.25">
      <c r="A14" s="4">
        <v>46022</v>
      </c>
      <c r="B14" s="5" t="s">
        <v>30</v>
      </c>
      <c r="C14" s="5" t="s">
        <v>31</v>
      </c>
      <c r="D14" s="5" t="s">
        <v>32</v>
      </c>
      <c r="E14" s="6">
        <v>2.3237422991311197E-2</v>
      </c>
      <c r="F14" s="5" t="s">
        <v>33</v>
      </c>
      <c r="H14" s="50" t="s">
        <v>329</v>
      </c>
      <c r="I14" s="50"/>
      <c r="J14" s="50"/>
    </row>
    <row r="15" spans="1:14" x14ac:dyDescent="0.25">
      <c r="A15" s="4">
        <v>46022</v>
      </c>
      <c r="B15" s="5" t="s">
        <v>149</v>
      </c>
      <c r="C15" s="5" t="s">
        <v>150</v>
      </c>
      <c r="D15" s="5" t="s">
        <v>362</v>
      </c>
      <c r="E15" s="6">
        <v>2.1025620870968546E-2</v>
      </c>
      <c r="F15" s="5" t="s">
        <v>46</v>
      </c>
    </row>
    <row r="16" spans="1:14" x14ac:dyDescent="0.25">
      <c r="A16" s="4">
        <v>46022</v>
      </c>
      <c r="B16" s="5" t="s">
        <v>88</v>
      </c>
      <c r="C16" s="5" t="s">
        <v>89</v>
      </c>
      <c r="D16" s="5" t="s">
        <v>90</v>
      </c>
      <c r="E16" s="6">
        <v>2.0760342460374066E-2</v>
      </c>
      <c r="F16" s="5" t="s">
        <v>35</v>
      </c>
    </row>
    <row r="17" spans="1:6" x14ac:dyDescent="0.25">
      <c r="A17" s="4">
        <v>46022</v>
      </c>
      <c r="B17" s="5" t="s">
        <v>53</v>
      </c>
      <c r="C17" s="5" t="s">
        <v>54</v>
      </c>
      <c r="D17" s="5" t="s">
        <v>55</v>
      </c>
      <c r="E17" s="6">
        <v>1.8749660473231337E-2</v>
      </c>
      <c r="F17" s="5" t="s">
        <v>56</v>
      </c>
    </row>
    <row r="18" spans="1:6" x14ac:dyDescent="0.25">
      <c r="A18" s="4">
        <v>46022</v>
      </c>
      <c r="B18" s="5" t="s">
        <v>115</v>
      </c>
      <c r="C18" s="5" t="s">
        <v>116</v>
      </c>
      <c r="D18" s="5" t="s">
        <v>117</v>
      </c>
      <c r="E18" s="6">
        <v>1.4910269947879877E-2</v>
      </c>
      <c r="F18" s="5" t="s">
        <v>35</v>
      </c>
    </row>
    <row r="19" spans="1:6" x14ac:dyDescent="0.25">
      <c r="A19" s="4">
        <v>46022</v>
      </c>
      <c r="B19" s="5" t="s">
        <v>97</v>
      </c>
      <c r="C19" s="5" t="s">
        <v>98</v>
      </c>
      <c r="D19" s="5" t="s">
        <v>99</v>
      </c>
      <c r="E19" s="6">
        <v>1.4696311507493523E-2</v>
      </c>
      <c r="F19" s="5" t="s">
        <v>56</v>
      </c>
    </row>
    <row r="20" spans="1:6" x14ac:dyDescent="0.25">
      <c r="A20" s="4">
        <v>46022</v>
      </c>
      <c r="B20" s="5" t="s">
        <v>62</v>
      </c>
      <c r="C20" s="5" t="s">
        <v>63</v>
      </c>
      <c r="D20" s="5" t="s">
        <v>64</v>
      </c>
      <c r="E20" s="6">
        <v>1.4329046942581695E-2</v>
      </c>
      <c r="F20" s="5" t="s">
        <v>17</v>
      </c>
    </row>
    <row r="21" spans="1:6" x14ac:dyDescent="0.25">
      <c r="A21" s="4">
        <v>46022</v>
      </c>
      <c r="B21" s="5" t="s">
        <v>14</v>
      </c>
      <c r="C21" s="5" t="s">
        <v>15</v>
      </c>
      <c r="D21" s="5" t="s">
        <v>16</v>
      </c>
      <c r="E21" s="6">
        <v>1.3952586392021299E-2</v>
      </c>
      <c r="F21" s="5" t="s">
        <v>17</v>
      </c>
    </row>
    <row r="22" spans="1:6" x14ac:dyDescent="0.25">
      <c r="A22" s="4">
        <v>46022</v>
      </c>
      <c r="B22" s="5" t="s">
        <v>100</v>
      </c>
      <c r="C22" s="5" t="s">
        <v>101</v>
      </c>
      <c r="D22" s="5" t="s">
        <v>102</v>
      </c>
      <c r="E22" s="6">
        <v>1.3190059201899753E-2</v>
      </c>
      <c r="F22" s="5" t="s">
        <v>56</v>
      </c>
    </row>
    <row r="23" spans="1:6" x14ac:dyDescent="0.25">
      <c r="A23" s="4">
        <v>46022</v>
      </c>
      <c r="B23" s="5" t="s">
        <v>91</v>
      </c>
      <c r="C23" s="5" t="s">
        <v>92</v>
      </c>
      <c r="D23" s="5" t="s">
        <v>93</v>
      </c>
      <c r="E23" s="6">
        <v>1.2834085910505784E-2</v>
      </c>
      <c r="F23" s="5" t="s">
        <v>56</v>
      </c>
    </row>
    <row r="24" spans="1:6" x14ac:dyDescent="0.25">
      <c r="A24" s="4">
        <v>46022</v>
      </c>
      <c r="B24" s="5" t="s">
        <v>36</v>
      </c>
      <c r="C24" s="5" t="s">
        <v>37</v>
      </c>
      <c r="D24" s="5" t="s">
        <v>38</v>
      </c>
      <c r="E24" s="6">
        <v>1.2283825068711066E-2</v>
      </c>
      <c r="F24" s="5" t="s">
        <v>10</v>
      </c>
    </row>
    <row r="25" spans="1:6" x14ac:dyDescent="0.25">
      <c r="A25" s="4">
        <v>46022</v>
      </c>
      <c r="B25" s="5" t="s">
        <v>339</v>
      </c>
      <c r="C25" s="5" t="s">
        <v>340</v>
      </c>
      <c r="D25" s="5" t="s">
        <v>341</v>
      </c>
      <c r="E25" s="6">
        <v>1.2156261563963865E-2</v>
      </c>
      <c r="F25" s="5" t="s">
        <v>35</v>
      </c>
    </row>
    <row r="26" spans="1:6" x14ac:dyDescent="0.25">
      <c r="A26" s="4">
        <v>46022</v>
      </c>
      <c r="B26" s="5" t="s">
        <v>60</v>
      </c>
      <c r="C26" s="5" t="s">
        <v>61</v>
      </c>
      <c r="D26" s="5" t="s">
        <v>349</v>
      </c>
      <c r="E26" s="6">
        <v>1.1870151156668909E-2</v>
      </c>
      <c r="F26" s="5" t="s">
        <v>17</v>
      </c>
    </row>
    <row r="27" spans="1:6" x14ac:dyDescent="0.25">
      <c r="A27" s="4">
        <v>46022</v>
      </c>
      <c r="B27" s="5" t="s">
        <v>112</v>
      </c>
      <c r="C27" s="5" t="s">
        <v>113</v>
      </c>
      <c r="D27" s="5" t="s">
        <v>114</v>
      </c>
      <c r="E27" s="6">
        <v>1.1800596809464934E-2</v>
      </c>
      <c r="F27" s="5" t="s">
        <v>46</v>
      </c>
    </row>
    <row r="28" spans="1:6" x14ac:dyDescent="0.25">
      <c r="A28" s="4">
        <v>46022</v>
      </c>
      <c r="B28" s="5" t="s">
        <v>118</v>
      </c>
      <c r="C28" s="5" t="s">
        <v>119</v>
      </c>
      <c r="D28" s="5" t="s">
        <v>120</v>
      </c>
      <c r="E28" s="6">
        <v>1.1597530604103871E-2</v>
      </c>
      <c r="F28" s="5" t="s">
        <v>80</v>
      </c>
    </row>
    <row r="29" spans="1:6" x14ac:dyDescent="0.25">
      <c r="A29" s="4">
        <v>46022</v>
      </c>
      <c r="B29" s="5" t="s">
        <v>43</v>
      </c>
      <c r="C29" s="5" t="s">
        <v>44</v>
      </c>
      <c r="D29" s="5" t="s">
        <v>45</v>
      </c>
      <c r="E29" s="6">
        <v>1.1188756634032243E-2</v>
      </c>
      <c r="F29" s="5" t="s">
        <v>46</v>
      </c>
    </row>
    <row r="30" spans="1:6" x14ac:dyDescent="0.25">
      <c r="A30" s="4">
        <v>46022</v>
      </c>
      <c r="B30" s="5" t="s">
        <v>191</v>
      </c>
      <c r="C30" s="5" t="s">
        <v>192</v>
      </c>
      <c r="D30" s="5" t="s">
        <v>193</v>
      </c>
      <c r="E30" s="6">
        <v>1.0759188083114947E-2</v>
      </c>
      <c r="F30" s="5" t="s">
        <v>56</v>
      </c>
    </row>
    <row r="31" spans="1:6" x14ac:dyDescent="0.25">
      <c r="A31" s="4">
        <v>46022</v>
      </c>
      <c r="B31" s="5" t="s">
        <v>77</v>
      </c>
      <c r="C31" s="5" t="s">
        <v>78</v>
      </c>
      <c r="D31" s="5" t="s">
        <v>79</v>
      </c>
      <c r="E31" s="6">
        <v>1.0717472027310894E-2</v>
      </c>
      <c r="F31" s="5" t="s">
        <v>80</v>
      </c>
    </row>
    <row r="32" spans="1:6" x14ac:dyDescent="0.25">
      <c r="A32" s="4">
        <v>46022</v>
      </c>
      <c r="B32" s="5" t="s">
        <v>203</v>
      </c>
      <c r="C32" s="5" t="s">
        <v>204</v>
      </c>
      <c r="D32" s="5" t="s">
        <v>205</v>
      </c>
      <c r="E32" s="6">
        <v>1.0475599952145189E-2</v>
      </c>
      <c r="F32" s="5" t="s">
        <v>56</v>
      </c>
    </row>
    <row r="33" spans="1:6" x14ac:dyDescent="0.25">
      <c r="A33" s="4">
        <v>46022</v>
      </c>
      <c r="B33" s="5" t="s">
        <v>106</v>
      </c>
      <c r="C33" s="5" t="s">
        <v>107</v>
      </c>
      <c r="D33" s="5" t="s">
        <v>108</v>
      </c>
      <c r="E33" s="6">
        <v>1.0406644386535607E-2</v>
      </c>
      <c r="F33" s="5" t="s">
        <v>46</v>
      </c>
    </row>
    <row r="34" spans="1:6" x14ac:dyDescent="0.25">
      <c r="A34" s="4">
        <v>46022</v>
      </c>
      <c r="B34" s="5" t="s">
        <v>206</v>
      </c>
      <c r="C34" s="5" t="s">
        <v>207</v>
      </c>
      <c r="D34" s="5" t="s">
        <v>208</v>
      </c>
      <c r="E34" s="6">
        <v>9.6759485078391771E-3</v>
      </c>
      <c r="F34" s="5" t="s">
        <v>35</v>
      </c>
    </row>
    <row r="35" spans="1:6" x14ac:dyDescent="0.25">
      <c r="A35" s="4">
        <v>46022</v>
      </c>
      <c r="B35" s="5" t="s">
        <v>194</v>
      </c>
      <c r="C35" s="5" t="s">
        <v>195</v>
      </c>
      <c r="D35" s="5" t="s">
        <v>196</v>
      </c>
      <c r="E35" s="6">
        <v>9.5263493543319838E-3</v>
      </c>
      <c r="F35" s="5" t="s">
        <v>33</v>
      </c>
    </row>
    <row r="36" spans="1:6" x14ac:dyDescent="0.25">
      <c r="A36" s="4">
        <v>46022</v>
      </c>
      <c r="B36" s="5" t="s">
        <v>197</v>
      </c>
      <c r="C36" s="5" t="s">
        <v>198</v>
      </c>
      <c r="D36" s="5" t="s">
        <v>199</v>
      </c>
      <c r="E36" s="6">
        <v>9.489423231489446E-3</v>
      </c>
      <c r="F36" s="5" t="s">
        <v>10</v>
      </c>
    </row>
    <row r="37" spans="1:6" x14ac:dyDescent="0.25">
      <c r="A37" s="4">
        <v>46022</v>
      </c>
      <c r="B37" s="5" t="s">
        <v>124</v>
      </c>
      <c r="C37" s="5" t="s">
        <v>125</v>
      </c>
      <c r="D37" s="5" t="s">
        <v>126</v>
      </c>
      <c r="E37" s="6">
        <v>9.1288200318668366E-3</v>
      </c>
      <c r="F37" s="5" t="s">
        <v>35</v>
      </c>
    </row>
    <row r="38" spans="1:6" x14ac:dyDescent="0.25">
      <c r="A38" s="4">
        <v>46022</v>
      </c>
      <c r="B38" s="5" t="s">
        <v>81</v>
      </c>
      <c r="C38" s="5" t="s">
        <v>82</v>
      </c>
      <c r="D38" s="5" t="s">
        <v>83</v>
      </c>
      <c r="E38" s="6">
        <v>9.0996088024509706E-3</v>
      </c>
      <c r="F38" s="5" t="s">
        <v>46</v>
      </c>
    </row>
    <row r="39" spans="1:6" x14ac:dyDescent="0.25">
      <c r="A39" s="4">
        <v>46022</v>
      </c>
      <c r="B39" s="5" t="s">
        <v>103</v>
      </c>
      <c r="C39" s="5" t="s">
        <v>104</v>
      </c>
      <c r="D39" s="5" t="s">
        <v>105</v>
      </c>
      <c r="E39" s="6">
        <v>9.0959025221869355E-3</v>
      </c>
      <c r="F39" s="5" t="s">
        <v>33</v>
      </c>
    </row>
    <row r="40" spans="1:6" x14ac:dyDescent="0.25">
      <c r="A40" s="4">
        <v>46022</v>
      </c>
      <c r="B40" s="5" t="s">
        <v>200</v>
      </c>
      <c r="C40" s="5" t="s">
        <v>201</v>
      </c>
      <c r="D40" s="5" t="s">
        <v>202</v>
      </c>
      <c r="E40" s="6">
        <v>8.8010059767607059E-3</v>
      </c>
      <c r="F40" s="5" t="s">
        <v>56</v>
      </c>
    </row>
    <row r="41" spans="1:6" x14ac:dyDescent="0.25">
      <c r="A41" s="4">
        <v>46022</v>
      </c>
      <c r="B41" s="5" t="s">
        <v>209</v>
      </c>
      <c r="C41" s="5" t="s">
        <v>210</v>
      </c>
      <c r="D41" s="5" t="s">
        <v>211</v>
      </c>
      <c r="E41" s="6">
        <v>8.7831955182019021E-3</v>
      </c>
      <c r="F41" s="5" t="s">
        <v>10</v>
      </c>
    </row>
    <row r="42" spans="1:6" x14ac:dyDescent="0.25">
      <c r="A42" s="4">
        <v>46022</v>
      </c>
      <c r="B42" s="5" t="s">
        <v>84</v>
      </c>
      <c r="C42" s="5" t="s">
        <v>85</v>
      </c>
      <c r="D42" s="5" t="s">
        <v>86</v>
      </c>
      <c r="E42" s="6">
        <v>8.5561505468128522E-3</v>
      </c>
      <c r="F42" s="5" t="s">
        <v>87</v>
      </c>
    </row>
    <row r="43" spans="1:6" x14ac:dyDescent="0.25">
      <c r="A43" s="4">
        <v>46022</v>
      </c>
      <c r="B43" s="5" t="s">
        <v>307</v>
      </c>
      <c r="C43" s="5" t="s">
        <v>308</v>
      </c>
      <c r="D43" s="5" t="s">
        <v>309</v>
      </c>
      <c r="E43" s="6">
        <v>8.4001644877021754E-3</v>
      </c>
      <c r="F43" s="5" t="s">
        <v>56</v>
      </c>
    </row>
    <row r="44" spans="1:6" x14ac:dyDescent="0.25">
      <c r="A44" s="4">
        <v>46022</v>
      </c>
      <c r="B44" s="5" t="s">
        <v>166</v>
      </c>
      <c r="C44" s="5" t="s">
        <v>167</v>
      </c>
      <c r="D44" s="5" t="s">
        <v>168</v>
      </c>
      <c r="E44" s="6">
        <v>8.2201227202159319E-3</v>
      </c>
      <c r="F44" s="5" t="s">
        <v>56</v>
      </c>
    </row>
    <row r="45" spans="1:6" x14ac:dyDescent="0.25">
      <c r="A45" s="4">
        <v>46022</v>
      </c>
      <c r="B45" s="5" t="s">
        <v>236</v>
      </c>
      <c r="C45" s="5" t="s">
        <v>237</v>
      </c>
      <c r="D45" s="5" t="s">
        <v>238</v>
      </c>
      <c r="E45" s="6">
        <v>8.1737740059580118E-3</v>
      </c>
      <c r="F45" s="5" t="s">
        <v>46</v>
      </c>
    </row>
    <row r="46" spans="1:6" x14ac:dyDescent="0.25">
      <c r="A46" s="4">
        <v>46022</v>
      </c>
      <c r="B46" s="5" t="s">
        <v>345</v>
      </c>
      <c r="C46" s="5" t="s">
        <v>346</v>
      </c>
      <c r="D46" s="5" t="s">
        <v>347</v>
      </c>
      <c r="E46" s="6">
        <v>8.1274420488863502E-3</v>
      </c>
      <c r="F46" s="5" t="s">
        <v>10</v>
      </c>
    </row>
    <row r="47" spans="1:6" x14ac:dyDescent="0.25">
      <c r="A47" s="4">
        <v>46022</v>
      </c>
      <c r="B47" s="5" t="s">
        <v>154</v>
      </c>
      <c r="C47" s="5" t="s">
        <v>155</v>
      </c>
      <c r="D47" s="5" t="s">
        <v>156</v>
      </c>
      <c r="E47" s="6">
        <v>8.0636562671130008E-3</v>
      </c>
      <c r="F47" s="5" t="s">
        <v>10</v>
      </c>
    </row>
    <row r="48" spans="1:6" x14ac:dyDescent="0.25">
      <c r="A48" s="4">
        <v>46022</v>
      </c>
      <c r="B48" s="5" t="s">
        <v>333</v>
      </c>
      <c r="C48" s="5" t="s">
        <v>334</v>
      </c>
      <c r="D48" s="5" t="s">
        <v>335</v>
      </c>
      <c r="E48" s="6">
        <v>7.725731232821732E-3</v>
      </c>
      <c r="F48" s="5" t="s">
        <v>10</v>
      </c>
    </row>
    <row r="49" spans="1:6" x14ac:dyDescent="0.25">
      <c r="A49" s="4">
        <v>46022</v>
      </c>
      <c r="B49" s="5" t="s">
        <v>178</v>
      </c>
      <c r="C49" s="5" t="s">
        <v>179</v>
      </c>
      <c r="D49" s="5" t="s">
        <v>180</v>
      </c>
      <c r="E49" s="6">
        <v>7.5291214689912414E-3</v>
      </c>
      <c r="F49" s="5" t="s">
        <v>56</v>
      </c>
    </row>
    <row r="50" spans="1:6" x14ac:dyDescent="0.25">
      <c r="A50" s="4">
        <v>46022</v>
      </c>
      <c r="B50" s="5" t="s">
        <v>151</v>
      </c>
      <c r="C50" s="5" t="s">
        <v>152</v>
      </c>
      <c r="D50" s="5" t="s">
        <v>153</v>
      </c>
      <c r="E50" s="6">
        <v>7.3282629269813505E-3</v>
      </c>
      <c r="F50" s="5" t="s">
        <v>17</v>
      </c>
    </row>
    <row r="51" spans="1:6" x14ac:dyDescent="0.25">
      <c r="A51" s="4">
        <v>46022</v>
      </c>
      <c r="B51" s="5" t="s">
        <v>121</v>
      </c>
      <c r="C51" s="5" t="s">
        <v>122</v>
      </c>
      <c r="D51" s="5" t="s">
        <v>123</v>
      </c>
      <c r="E51" s="6">
        <v>7.2352554265610446E-3</v>
      </c>
      <c r="F51" s="5" t="s">
        <v>10</v>
      </c>
    </row>
    <row r="52" spans="1:6" x14ac:dyDescent="0.25">
      <c r="A52" s="4">
        <v>46022</v>
      </c>
      <c r="B52" s="5" t="s">
        <v>356</v>
      </c>
      <c r="C52" s="5" t="s">
        <v>357</v>
      </c>
      <c r="D52" s="5" t="s">
        <v>358</v>
      </c>
      <c r="E52" s="6">
        <v>7.211658494128287E-3</v>
      </c>
      <c r="F52" s="5" t="s">
        <v>35</v>
      </c>
    </row>
    <row r="53" spans="1:6" x14ac:dyDescent="0.25">
      <c r="A53" s="4">
        <v>46022</v>
      </c>
      <c r="B53" s="5" t="s">
        <v>188</v>
      </c>
      <c r="C53" s="5" t="s">
        <v>189</v>
      </c>
      <c r="D53" s="5" t="s">
        <v>190</v>
      </c>
      <c r="E53" s="6">
        <v>6.8857879528342507E-3</v>
      </c>
      <c r="F53" s="5" t="s">
        <v>35</v>
      </c>
    </row>
    <row r="54" spans="1:6" x14ac:dyDescent="0.25">
      <c r="A54" s="4">
        <v>46022</v>
      </c>
      <c r="B54" s="5" t="s">
        <v>94</v>
      </c>
      <c r="C54" s="5" t="s">
        <v>95</v>
      </c>
      <c r="D54" s="5" t="s">
        <v>96</v>
      </c>
      <c r="E54" s="6">
        <v>6.5886693533434614E-3</v>
      </c>
      <c r="F54" s="5" t="s">
        <v>10</v>
      </c>
    </row>
    <row r="55" spans="1:6" x14ac:dyDescent="0.25">
      <c r="A55" s="4">
        <v>46022</v>
      </c>
      <c r="B55" s="5" t="s">
        <v>175</v>
      </c>
      <c r="C55" s="5" t="s">
        <v>176</v>
      </c>
      <c r="D55" s="5" t="s">
        <v>177</v>
      </c>
      <c r="E55" s="6">
        <v>6.5106409226331893E-3</v>
      </c>
      <c r="F55" s="5" t="s">
        <v>46</v>
      </c>
    </row>
    <row r="56" spans="1:6" x14ac:dyDescent="0.25">
      <c r="A56" s="4">
        <v>46022</v>
      </c>
      <c r="B56" s="5" t="s">
        <v>215</v>
      </c>
      <c r="C56" s="5" t="s">
        <v>216</v>
      </c>
      <c r="D56" s="5" t="s">
        <v>217</v>
      </c>
      <c r="E56" s="6">
        <v>6.5035806467688547E-3</v>
      </c>
      <c r="F56" s="5" t="s">
        <v>144</v>
      </c>
    </row>
    <row r="57" spans="1:6" x14ac:dyDescent="0.25">
      <c r="A57" s="4">
        <v>46022</v>
      </c>
      <c r="B57" s="5" t="s">
        <v>330</v>
      </c>
      <c r="C57" s="5" t="s">
        <v>331</v>
      </c>
      <c r="D57" s="5" t="s">
        <v>332</v>
      </c>
      <c r="E57" s="6">
        <v>6.190715575187967E-3</v>
      </c>
      <c r="F57" s="5" t="s">
        <v>56</v>
      </c>
    </row>
    <row r="58" spans="1:6" x14ac:dyDescent="0.25">
      <c r="A58" s="4">
        <v>46022</v>
      </c>
      <c r="B58" s="5" t="s">
        <v>218</v>
      </c>
      <c r="C58" s="5" t="s">
        <v>219</v>
      </c>
      <c r="D58" s="5" t="s">
        <v>220</v>
      </c>
      <c r="E58" s="6">
        <v>5.9221124237145402E-3</v>
      </c>
      <c r="F58" s="5" t="s">
        <v>10</v>
      </c>
    </row>
    <row r="59" spans="1:6" x14ac:dyDescent="0.25">
      <c r="A59" s="4">
        <v>46022</v>
      </c>
      <c r="B59" s="5" t="s">
        <v>146</v>
      </c>
      <c r="C59" s="5" t="s">
        <v>147</v>
      </c>
      <c r="D59" s="5" t="s">
        <v>148</v>
      </c>
      <c r="E59" s="6">
        <v>5.881935342779563E-3</v>
      </c>
      <c r="F59" s="5" t="s">
        <v>35</v>
      </c>
    </row>
    <row r="60" spans="1:6" x14ac:dyDescent="0.25">
      <c r="A60" s="4">
        <v>46022</v>
      </c>
      <c r="B60" s="5" t="s">
        <v>350</v>
      </c>
      <c r="C60" s="5" t="s">
        <v>351</v>
      </c>
      <c r="D60" s="5" t="s">
        <v>352</v>
      </c>
      <c r="E60" s="6">
        <v>5.5706921621603575E-3</v>
      </c>
      <c r="F60" s="5" t="s">
        <v>10</v>
      </c>
    </row>
    <row r="61" spans="1:6" x14ac:dyDescent="0.25">
      <c r="A61" s="4">
        <v>46022</v>
      </c>
      <c r="B61" s="5" t="s">
        <v>169</v>
      </c>
      <c r="C61" s="5" t="s">
        <v>170</v>
      </c>
      <c r="D61" s="5" t="s">
        <v>171</v>
      </c>
      <c r="E61" s="6">
        <v>5.552213526789267E-3</v>
      </c>
      <c r="F61" s="5" t="s">
        <v>21</v>
      </c>
    </row>
    <row r="62" spans="1:6" x14ac:dyDescent="0.25">
      <c r="A62" s="4">
        <v>46022</v>
      </c>
      <c r="B62" s="5" t="s">
        <v>221</v>
      </c>
      <c r="C62" s="5" t="s">
        <v>222</v>
      </c>
      <c r="D62" s="5" t="s">
        <v>223</v>
      </c>
      <c r="E62" s="6">
        <v>5.5305929189951291E-3</v>
      </c>
      <c r="F62" s="5" t="s">
        <v>80</v>
      </c>
    </row>
    <row r="63" spans="1:6" x14ac:dyDescent="0.25">
      <c r="A63" s="4">
        <v>46022</v>
      </c>
      <c r="B63" s="5" t="s">
        <v>239</v>
      </c>
      <c r="C63" s="5" t="s">
        <v>240</v>
      </c>
      <c r="D63" s="5" t="s">
        <v>241</v>
      </c>
      <c r="E63" s="6">
        <v>4.8463413600604958E-3</v>
      </c>
      <c r="F63" s="5" t="s">
        <v>35</v>
      </c>
    </row>
    <row r="64" spans="1:6" x14ac:dyDescent="0.25">
      <c r="A64" s="4">
        <v>46022</v>
      </c>
      <c r="B64" s="5" t="s">
        <v>227</v>
      </c>
      <c r="C64" s="5" t="s">
        <v>228</v>
      </c>
      <c r="D64" s="5" t="s">
        <v>229</v>
      </c>
      <c r="E64" s="6">
        <v>4.8335804429327266E-3</v>
      </c>
      <c r="F64" s="5" t="s">
        <v>80</v>
      </c>
    </row>
    <row r="65" spans="1:6" x14ac:dyDescent="0.25">
      <c r="A65" s="4">
        <v>46022</v>
      </c>
      <c r="B65" s="5" t="s">
        <v>230</v>
      </c>
      <c r="C65" s="5" t="s">
        <v>231</v>
      </c>
      <c r="D65" s="5" t="s">
        <v>232</v>
      </c>
      <c r="E65" s="6">
        <v>4.5292673821701003E-3</v>
      </c>
      <c r="F65" s="5" t="s">
        <v>35</v>
      </c>
    </row>
    <row r="66" spans="1:6" x14ac:dyDescent="0.25">
      <c r="A66" s="4">
        <v>46022</v>
      </c>
      <c r="B66" s="5" t="s">
        <v>127</v>
      </c>
      <c r="C66" s="5" t="s">
        <v>128</v>
      </c>
      <c r="D66" s="5" t="s">
        <v>129</v>
      </c>
      <c r="E66" s="6">
        <v>4.4502307700592285E-3</v>
      </c>
      <c r="F66" s="5" t="s">
        <v>17</v>
      </c>
    </row>
    <row r="67" spans="1:6" x14ac:dyDescent="0.25">
      <c r="A67" s="4">
        <v>46022</v>
      </c>
      <c r="B67" s="5" t="s">
        <v>184</v>
      </c>
      <c r="C67" s="5" t="s">
        <v>185</v>
      </c>
      <c r="D67" s="5" t="s">
        <v>186</v>
      </c>
      <c r="E67" s="6">
        <v>4.437609922541769E-3</v>
      </c>
      <c r="F67" s="5" t="s">
        <v>10</v>
      </c>
    </row>
    <row r="68" spans="1:6" x14ac:dyDescent="0.25">
      <c r="A68" s="4">
        <v>46022</v>
      </c>
      <c r="B68" s="5" t="s">
        <v>224</v>
      </c>
      <c r="C68" s="5" t="s">
        <v>225</v>
      </c>
      <c r="D68" s="5" t="s">
        <v>226</v>
      </c>
      <c r="E68" s="6">
        <v>4.1957020304894095E-3</v>
      </c>
      <c r="F68" s="5" t="s">
        <v>35</v>
      </c>
    </row>
    <row r="69" spans="1:6" x14ac:dyDescent="0.25">
      <c r="A69" s="4">
        <v>46022</v>
      </c>
      <c r="B69" s="5" t="s">
        <v>317</v>
      </c>
      <c r="C69" s="5" t="s">
        <v>318</v>
      </c>
      <c r="D69" s="5" t="s">
        <v>319</v>
      </c>
      <c r="E69" s="6">
        <v>3.5666008019557046E-3</v>
      </c>
      <c r="F69" s="5" t="s">
        <v>35</v>
      </c>
    </row>
    <row r="70" spans="1:6" x14ac:dyDescent="0.25">
      <c r="A70" s="4">
        <v>46022</v>
      </c>
      <c r="B70" s="5" t="s">
        <v>233</v>
      </c>
      <c r="C70" s="5" t="s">
        <v>234</v>
      </c>
      <c r="D70" s="5" t="s">
        <v>235</v>
      </c>
      <c r="E70" s="6">
        <v>3.4113061366749138E-3</v>
      </c>
      <c r="F70" s="5" t="s">
        <v>33</v>
      </c>
    </row>
    <row r="71" spans="1:6" x14ac:dyDescent="0.25">
      <c r="A71" s="4">
        <v>46022</v>
      </c>
      <c r="B71" s="5" t="s">
        <v>133</v>
      </c>
      <c r="C71" s="5" t="s">
        <v>133</v>
      </c>
      <c r="D71" s="5" t="s">
        <v>133</v>
      </c>
      <c r="E71" s="6">
        <v>5.1148189068291232E-3</v>
      </c>
      <c r="F71" s="5" t="s">
        <v>133</v>
      </c>
    </row>
  </sheetData>
  <autoFilter ref="A2:F71" xr:uid="{CEF3EC98-1224-4C35-B844-987EE0A01768}"/>
  <mergeCells count="8">
    <mergeCell ref="A1:F1"/>
    <mergeCell ref="L9:M9"/>
    <mergeCell ref="L11:M11"/>
    <mergeCell ref="M1:N1"/>
    <mergeCell ref="H14:J14"/>
    <mergeCell ref="L7:N7"/>
    <mergeCell ref="L10:N10"/>
    <mergeCell ref="L12:N12"/>
  </mergeCells>
  <conditionalFormatting sqref="B1:B1048576">
    <cfRule type="duplicateValues" dxfId="3" priority="2"/>
  </conditionalFormatting>
  <conditionalFormatting sqref="D1:D1048576">
    <cfRule type="duplicateValues" dxfId="2" priority="1"/>
  </conditionalFormatting>
  <hyperlinks>
    <hyperlink ref="M1:N1" location="Index!A1" display="Back to Index" xr:uid="{E15AEC58-9107-47ED-A0A5-33B98713697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6DFF-C03A-4654-8793-6802043D698D}">
  <dimension ref="A1:N43"/>
  <sheetViews>
    <sheetView workbookViewId="0">
      <pane ySplit="2" topLeftCell="A3" activePane="bottomLeft" state="frozen"/>
      <selection activeCell="M1" sqref="M1:N1"/>
      <selection pane="bottomLeft" sqref="A1:F1"/>
    </sheetView>
  </sheetViews>
  <sheetFormatPr defaultRowHeight="13.5" x14ac:dyDescent="0.25"/>
  <cols>
    <col min="1" max="1" width="9.7109375" style="1" bestFit="1" customWidth="1"/>
    <col min="2" max="2" width="30" style="1" customWidth="1"/>
    <col min="3" max="3" width="17.7109375" style="1" customWidth="1"/>
    <col min="4" max="4" width="13.85546875" style="1" bestFit="1" customWidth="1"/>
    <col min="5" max="5" width="7.5703125" style="1" bestFit="1" customWidth="1"/>
    <col min="6" max="6" width="23.140625" style="1" bestFit="1" customWidth="1"/>
    <col min="7" max="7" width="4.28515625" style="1" customWidth="1"/>
    <col min="8" max="8" width="17" style="1" bestFit="1" customWidth="1"/>
    <col min="9" max="9" width="14" style="1" customWidth="1"/>
    <col min="10" max="10" width="9.140625" style="1"/>
    <col min="11" max="11" width="3.140625" style="1" customWidth="1"/>
    <col min="12" max="12" width="12.140625" style="1" customWidth="1"/>
    <col min="13" max="13" width="14.140625" style="1" customWidth="1"/>
    <col min="14" max="16384" width="9.140625" style="1"/>
  </cols>
  <sheetData>
    <row r="1" spans="1:14" ht="15" x14ac:dyDescent="0.25">
      <c r="A1" s="47" t="s">
        <v>243</v>
      </c>
      <c r="B1" s="47"/>
      <c r="C1" s="47"/>
      <c r="D1" s="47"/>
      <c r="E1" s="47"/>
      <c r="F1" s="47"/>
      <c r="M1" s="49" t="s">
        <v>262</v>
      </c>
      <c r="N1" s="49"/>
    </row>
    <row r="2" spans="1:14" ht="38.25" x14ac:dyDescent="0.25">
      <c r="A2" s="2" t="s">
        <v>1</v>
      </c>
      <c r="B2" s="2" t="s">
        <v>2</v>
      </c>
      <c r="C2" s="2" t="s">
        <v>3</v>
      </c>
      <c r="D2" s="2" t="s">
        <v>4</v>
      </c>
      <c r="E2" s="2" t="s">
        <v>5</v>
      </c>
      <c r="F2" s="2" t="s">
        <v>6</v>
      </c>
      <c r="H2" s="3" t="s">
        <v>135</v>
      </c>
      <c r="I2" s="3" t="s">
        <v>243</v>
      </c>
      <c r="J2" s="3" t="s">
        <v>136</v>
      </c>
      <c r="L2" s="3" t="s">
        <v>137</v>
      </c>
      <c r="M2" s="3" t="s">
        <v>243</v>
      </c>
      <c r="N2" s="3" t="s">
        <v>136</v>
      </c>
    </row>
    <row r="3" spans="1:14" x14ac:dyDescent="0.25">
      <c r="A3" s="4">
        <v>46022</v>
      </c>
      <c r="B3" s="5" t="s">
        <v>11</v>
      </c>
      <c r="C3" s="5" t="s">
        <v>12</v>
      </c>
      <c r="D3" s="5" t="s">
        <v>9</v>
      </c>
      <c r="E3" s="6">
        <v>7.8044411601422808E-2</v>
      </c>
      <c r="F3" s="5" t="s">
        <v>10</v>
      </c>
      <c r="H3" s="7" t="s">
        <v>138</v>
      </c>
      <c r="I3" s="8">
        <v>0.10134547791962226</v>
      </c>
      <c r="J3" s="8">
        <v>0.11427761999999995</v>
      </c>
      <c r="L3" s="7" t="s">
        <v>139</v>
      </c>
      <c r="M3" s="8">
        <v>0.65941214126753001</v>
      </c>
      <c r="N3" s="8">
        <v>0.7158501500000003</v>
      </c>
    </row>
    <row r="4" spans="1:14" x14ac:dyDescent="0.25">
      <c r="A4" s="4">
        <v>46022</v>
      </c>
      <c r="B4" s="5" t="s">
        <v>7</v>
      </c>
      <c r="C4" s="5" t="s">
        <v>8</v>
      </c>
      <c r="D4" s="5" t="s">
        <v>13</v>
      </c>
      <c r="E4" s="6">
        <v>7.7614958264954986E-2</v>
      </c>
      <c r="F4" s="5" t="s">
        <v>10</v>
      </c>
      <c r="H4" s="7" t="s">
        <v>140</v>
      </c>
      <c r="I4" s="8">
        <v>0.10440950971780263</v>
      </c>
      <c r="J4" s="8">
        <v>8.7656849999999994E-2</v>
      </c>
      <c r="L4" s="7" t="s">
        <v>141</v>
      </c>
      <c r="M4" s="8">
        <v>0.17840633946814249</v>
      </c>
      <c r="N4" s="8">
        <v>0.18515037000000001</v>
      </c>
    </row>
    <row r="5" spans="1:14" x14ac:dyDescent="0.25">
      <c r="A5" s="4">
        <v>46022</v>
      </c>
      <c r="B5" s="5" t="s">
        <v>39</v>
      </c>
      <c r="C5" s="5" t="s">
        <v>40</v>
      </c>
      <c r="D5" s="5" t="s">
        <v>41</v>
      </c>
      <c r="E5" s="6">
        <v>4.4724126518487464E-2</v>
      </c>
      <c r="F5" s="5" t="s">
        <v>42</v>
      </c>
      <c r="H5" s="7" t="s">
        <v>10</v>
      </c>
      <c r="I5" s="8">
        <v>0.31256095181233495</v>
      </c>
      <c r="J5" s="8">
        <v>0.31055860000000002</v>
      </c>
      <c r="L5" s="7" t="s">
        <v>142</v>
      </c>
      <c r="M5" s="8">
        <v>0.11475815614576625</v>
      </c>
      <c r="N5" s="8">
        <v>9.8999510000000054E-2</v>
      </c>
    </row>
    <row r="6" spans="1:14" x14ac:dyDescent="0.25">
      <c r="A6" s="4">
        <v>46022</v>
      </c>
      <c r="B6" s="5" t="s">
        <v>25</v>
      </c>
      <c r="C6" s="5" t="s">
        <v>26</v>
      </c>
      <c r="D6" s="5" t="s">
        <v>27</v>
      </c>
      <c r="E6" s="6">
        <v>4.3604214072890661E-2</v>
      </c>
      <c r="F6" s="5" t="s">
        <v>10</v>
      </c>
      <c r="H6" s="7" t="s">
        <v>46</v>
      </c>
      <c r="I6" s="8">
        <v>0.11628110788168132</v>
      </c>
      <c r="J6" s="8">
        <v>0.11089299000000002</v>
      </c>
      <c r="L6" s="7" t="s">
        <v>133</v>
      </c>
      <c r="M6" s="9">
        <v>4.7423363118561254E-2</v>
      </c>
      <c r="N6" s="9">
        <v>0</v>
      </c>
    </row>
    <row r="7" spans="1:14" x14ac:dyDescent="0.25">
      <c r="A7" s="4">
        <v>46022</v>
      </c>
      <c r="B7" s="5" t="s">
        <v>22</v>
      </c>
      <c r="C7" s="5" t="s">
        <v>23</v>
      </c>
      <c r="D7" s="5" t="s">
        <v>24</v>
      </c>
      <c r="E7" s="6">
        <v>3.929971290110499E-2</v>
      </c>
      <c r="F7" s="5" t="s">
        <v>10</v>
      </c>
      <c r="H7" s="7" t="s">
        <v>80</v>
      </c>
      <c r="I7" s="8">
        <v>6.8525245926449818E-2</v>
      </c>
      <c r="J7" s="8">
        <v>9.4425240000000077E-2</v>
      </c>
      <c r="L7" s="50" t="s">
        <v>372</v>
      </c>
      <c r="M7" s="50"/>
      <c r="N7" s="50"/>
    </row>
    <row r="8" spans="1:14" x14ac:dyDescent="0.25">
      <c r="A8" s="4">
        <v>46022</v>
      </c>
      <c r="B8" s="5" t="s">
        <v>62</v>
      </c>
      <c r="C8" s="5" t="s">
        <v>63</v>
      </c>
      <c r="D8" s="5" t="s">
        <v>64</v>
      </c>
      <c r="E8" s="6">
        <v>3.6775344810383144E-2</v>
      </c>
      <c r="F8" s="5" t="s">
        <v>17</v>
      </c>
      <c r="H8" s="7" t="s">
        <v>42</v>
      </c>
      <c r="I8" s="8">
        <v>5.8017149494951167E-2</v>
      </c>
      <c r="J8" s="8">
        <v>7.3570860000000002E-2</v>
      </c>
    </row>
    <row r="9" spans="1:14" x14ac:dyDescent="0.25">
      <c r="A9" s="4">
        <v>46022</v>
      </c>
      <c r="B9" s="5" t="s">
        <v>91</v>
      </c>
      <c r="C9" s="5" t="s">
        <v>92</v>
      </c>
      <c r="D9" s="5" t="s">
        <v>34</v>
      </c>
      <c r="E9" s="6">
        <v>3.2248787700431651E-2</v>
      </c>
      <c r="F9" s="5" t="s">
        <v>35</v>
      </c>
      <c r="H9" s="7" t="s">
        <v>87</v>
      </c>
      <c r="I9" s="8">
        <v>1.6796273472995733E-2</v>
      </c>
      <c r="J9" s="8">
        <v>3.5213910000000001E-2</v>
      </c>
      <c r="L9" s="48" t="s">
        <v>242</v>
      </c>
      <c r="M9" s="48"/>
      <c r="N9" s="10">
        <v>470234.23989179009</v>
      </c>
    </row>
    <row r="10" spans="1:14" x14ac:dyDescent="0.25">
      <c r="A10" s="4">
        <v>46022</v>
      </c>
      <c r="B10" s="5" t="s">
        <v>305</v>
      </c>
      <c r="C10" s="5" t="s">
        <v>306</v>
      </c>
      <c r="D10" s="5" t="s">
        <v>349</v>
      </c>
      <c r="E10" s="6">
        <v>3.0743230011788639E-2</v>
      </c>
      <c r="F10" s="5" t="s">
        <v>17</v>
      </c>
      <c r="H10" s="7" t="s">
        <v>56</v>
      </c>
      <c r="I10" s="8">
        <v>6.945130700825837E-2</v>
      </c>
      <c r="J10" s="8">
        <v>6.1354979999999983E-2</v>
      </c>
      <c r="L10" s="50" t="s">
        <v>372</v>
      </c>
      <c r="M10" s="50"/>
      <c r="N10" s="50"/>
    </row>
    <row r="11" spans="1:14" x14ac:dyDescent="0.25">
      <c r="A11" s="4">
        <v>46022</v>
      </c>
      <c r="B11" s="5" t="s">
        <v>28</v>
      </c>
      <c r="C11" s="5" t="s">
        <v>29</v>
      </c>
      <c r="D11" s="5" t="s">
        <v>93</v>
      </c>
      <c r="E11" s="6">
        <v>2.9043677018433422E-2</v>
      </c>
      <c r="F11" s="5" t="s">
        <v>56</v>
      </c>
      <c r="H11" s="7" t="s">
        <v>33</v>
      </c>
      <c r="I11" s="8">
        <v>4.1404701042241851E-2</v>
      </c>
      <c r="J11" s="8">
        <v>6.2283560000000009E-2</v>
      </c>
      <c r="L11" s="48" t="s">
        <v>134</v>
      </c>
      <c r="M11" s="48"/>
      <c r="N11" s="10">
        <v>125650.89705655001</v>
      </c>
    </row>
    <row r="12" spans="1:14" x14ac:dyDescent="0.25">
      <c r="A12" s="4">
        <v>46022</v>
      </c>
      <c r="B12" s="5" t="s">
        <v>36</v>
      </c>
      <c r="C12" s="5" t="s">
        <v>37</v>
      </c>
      <c r="D12" s="5" t="s">
        <v>38</v>
      </c>
      <c r="E12" s="6">
        <v>2.8852278369354237E-2</v>
      </c>
      <c r="F12" s="5" t="s">
        <v>10</v>
      </c>
      <c r="H12" s="7" t="s">
        <v>143</v>
      </c>
      <c r="I12" s="8">
        <v>5.0040298175228773E-2</v>
      </c>
      <c r="J12" s="8">
        <v>3.9581239999999997E-2</v>
      </c>
      <c r="L12" s="50" t="s">
        <v>372</v>
      </c>
      <c r="M12" s="50"/>
      <c r="N12" s="50"/>
    </row>
    <row r="13" spans="1:14" x14ac:dyDescent="0.25">
      <c r="A13" s="4">
        <v>46022</v>
      </c>
      <c r="B13" s="5" t="s">
        <v>60</v>
      </c>
      <c r="C13" s="5" t="s">
        <v>61</v>
      </c>
      <c r="D13" s="5" t="s">
        <v>348</v>
      </c>
      <c r="E13" s="6">
        <v>2.7859602049775497E-2</v>
      </c>
      <c r="F13" s="5" t="s">
        <v>21</v>
      </c>
      <c r="H13" s="7" t="s">
        <v>144</v>
      </c>
      <c r="I13" s="8">
        <v>1.3744614429871887E-2</v>
      </c>
      <c r="J13" s="8">
        <v>1.0184179999999998E-2</v>
      </c>
    </row>
    <row r="14" spans="1:14" x14ac:dyDescent="0.25">
      <c r="A14" s="4">
        <v>46022</v>
      </c>
      <c r="B14" s="5" t="s">
        <v>14</v>
      </c>
      <c r="C14" s="5" t="s">
        <v>15</v>
      </c>
      <c r="D14" s="5" t="s">
        <v>246</v>
      </c>
      <c r="E14" s="6">
        <v>2.6856120292239986E-2</v>
      </c>
      <c r="F14" s="5" t="s">
        <v>56</v>
      </c>
      <c r="H14" s="50" t="s">
        <v>372</v>
      </c>
      <c r="I14" s="50"/>
      <c r="J14" s="50"/>
    </row>
    <row r="15" spans="1:14" x14ac:dyDescent="0.25">
      <c r="A15" s="4">
        <v>46022</v>
      </c>
      <c r="B15" s="5" t="s">
        <v>250</v>
      </c>
      <c r="C15" s="5" t="s">
        <v>251</v>
      </c>
      <c r="D15" s="5" t="s">
        <v>252</v>
      </c>
      <c r="E15" s="6">
        <v>2.6606673825300027E-2</v>
      </c>
      <c r="F15" s="5" t="s">
        <v>10</v>
      </c>
    </row>
    <row r="16" spans="1:14" x14ac:dyDescent="0.25">
      <c r="A16" s="4">
        <v>46022</v>
      </c>
      <c r="B16" s="5" t="s">
        <v>57</v>
      </c>
      <c r="C16" s="5" t="s">
        <v>58</v>
      </c>
      <c r="D16" s="5" t="s">
        <v>59</v>
      </c>
      <c r="E16" s="6">
        <v>2.585414627023333E-2</v>
      </c>
      <c r="F16" s="5" t="s">
        <v>46</v>
      </c>
    </row>
    <row r="17" spans="1:6" x14ac:dyDescent="0.25">
      <c r="A17" s="4">
        <v>46022</v>
      </c>
      <c r="B17" s="5" t="s">
        <v>244</v>
      </c>
      <c r="C17" s="5" t="s">
        <v>245</v>
      </c>
      <c r="D17" s="5" t="s">
        <v>16</v>
      </c>
      <c r="E17" s="6">
        <v>2.5386832019374344E-2</v>
      </c>
      <c r="F17" s="5" t="s">
        <v>17</v>
      </c>
    </row>
    <row r="18" spans="1:6" x14ac:dyDescent="0.25">
      <c r="A18" s="4">
        <v>46022</v>
      </c>
      <c r="B18" s="5" t="s">
        <v>50</v>
      </c>
      <c r="C18" s="5" t="s">
        <v>51</v>
      </c>
      <c r="D18" s="5" t="s">
        <v>52</v>
      </c>
      <c r="E18" s="6">
        <v>2.4855522771624117E-2</v>
      </c>
      <c r="F18" s="5" t="s">
        <v>35</v>
      </c>
    </row>
    <row r="19" spans="1:6" x14ac:dyDescent="0.25">
      <c r="A19" s="4">
        <v>46022</v>
      </c>
      <c r="B19" s="5" t="s">
        <v>18</v>
      </c>
      <c r="C19" s="5" t="s">
        <v>19</v>
      </c>
      <c r="D19" s="5" t="s">
        <v>20</v>
      </c>
      <c r="E19" s="6">
        <v>2.2928301713412348E-2</v>
      </c>
      <c r="F19" s="5" t="s">
        <v>21</v>
      </c>
    </row>
    <row r="20" spans="1:6" x14ac:dyDescent="0.25">
      <c r="A20" s="4">
        <v>46022</v>
      </c>
      <c r="B20" s="5" t="s">
        <v>65</v>
      </c>
      <c r="C20" s="5" t="s">
        <v>66</v>
      </c>
      <c r="D20" s="5" t="s">
        <v>67</v>
      </c>
      <c r="E20" s="6">
        <v>2.0622639037458892E-2</v>
      </c>
      <c r="F20" s="5" t="s">
        <v>46</v>
      </c>
    </row>
    <row r="21" spans="1:6" x14ac:dyDescent="0.25">
      <c r="A21" s="4">
        <v>46022</v>
      </c>
      <c r="B21" s="5" t="s">
        <v>77</v>
      </c>
      <c r="C21" s="5" t="s">
        <v>78</v>
      </c>
      <c r="D21" s="5" t="s">
        <v>114</v>
      </c>
      <c r="E21" s="6">
        <v>1.8568181853229053E-2</v>
      </c>
      <c r="F21" s="5" t="s">
        <v>46</v>
      </c>
    </row>
    <row r="22" spans="1:6" x14ac:dyDescent="0.25">
      <c r="A22" s="4">
        <v>46022</v>
      </c>
      <c r="B22" s="5" t="s">
        <v>130</v>
      </c>
      <c r="C22" s="5" t="s">
        <v>131</v>
      </c>
      <c r="D22" s="5" t="s">
        <v>249</v>
      </c>
      <c r="E22" s="6">
        <v>1.8174620998656386E-2</v>
      </c>
      <c r="F22" s="5" t="s">
        <v>35</v>
      </c>
    </row>
    <row r="23" spans="1:6" x14ac:dyDescent="0.25">
      <c r="A23" s="4">
        <v>46022</v>
      </c>
      <c r="B23" s="5" t="s">
        <v>112</v>
      </c>
      <c r="C23" s="5" t="s">
        <v>113</v>
      </c>
      <c r="D23" s="5" t="s">
        <v>132</v>
      </c>
      <c r="E23" s="6">
        <v>1.8074733519869983E-2</v>
      </c>
      <c r="F23" s="5" t="s">
        <v>80</v>
      </c>
    </row>
    <row r="24" spans="1:6" x14ac:dyDescent="0.25">
      <c r="A24" s="4">
        <v>46022</v>
      </c>
      <c r="B24" s="5" t="s">
        <v>30</v>
      </c>
      <c r="C24" s="5" t="s">
        <v>31</v>
      </c>
      <c r="D24" s="5" t="s">
        <v>111</v>
      </c>
      <c r="E24" s="6">
        <v>1.7261896543649232E-2</v>
      </c>
      <c r="F24" s="5" t="s">
        <v>87</v>
      </c>
    </row>
    <row r="25" spans="1:6" x14ac:dyDescent="0.25">
      <c r="A25" s="4">
        <v>46022</v>
      </c>
      <c r="B25" s="5" t="s">
        <v>109</v>
      </c>
      <c r="C25" s="5" t="s">
        <v>110</v>
      </c>
      <c r="D25" s="5" t="s">
        <v>79</v>
      </c>
      <c r="E25" s="6">
        <v>1.684442132832728E-2</v>
      </c>
      <c r="F25" s="5" t="s">
        <v>80</v>
      </c>
    </row>
    <row r="26" spans="1:6" x14ac:dyDescent="0.25">
      <c r="A26" s="4">
        <v>46022</v>
      </c>
      <c r="B26" s="5" t="s">
        <v>247</v>
      </c>
      <c r="C26" s="5" t="s">
        <v>248</v>
      </c>
      <c r="D26" s="5" t="s">
        <v>32</v>
      </c>
      <c r="E26" s="6">
        <v>1.6392100669671877E-2</v>
      </c>
      <c r="F26" s="5" t="s">
        <v>33</v>
      </c>
    </row>
    <row r="27" spans="1:6" x14ac:dyDescent="0.25">
      <c r="A27" s="4">
        <v>46022</v>
      </c>
      <c r="B27" s="5" t="s">
        <v>149</v>
      </c>
      <c r="C27" s="5" t="s">
        <v>150</v>
      </c>
      <c r="D27" s="5" t="s">
        <v>362</v>
      </c>
      <c r="E27" s="6">
        <v>1.5515017407305071E-2</v>
      </c>
      <c r="F27" s="5" t="s">
        <v>46</v>
      </c>
    </row>
    <row r="28" spans="1:6" x14ac:dyDescent="0.25">
      <c r="A28" s="4">
        <v>46022</v>
      </c>
      <c r="B28" s="5" t="s">
        <v>103</v>
      </c>
      <c r="C28" s="5" t="s">
        <v>104</v>
      </c>
      <c r="D28" s="5" t="s">
        <v>328</v>
      </c>
      <c r="E28" s="6">
        <v>1.5356286361350998E-2</v>
      </c>
      <c r="F28" s="5" t="s">
        <v>46</v>
      </c>
    </row>
    <row r="29" spans="1:6" x14ac:dyDescent="0.25">
      <c r="A29" s="4">
        <v>46022</v>
      </c>
      <c r="B29" s="5" t="s">
        <v>212</v>
      </c>
      <c r="C29" s="5" t="s">
        <v>213</v>
      </c>
      <c r="D29" s="5" t="s">
        <v>153</v>
      </c>
      <c r="E29" s="6">
        <v>1.4876323884666651E-2</v>
      </c>
      <c r="F29" s="5" t="s">
        <v>17</v>
      </c>
    </row>
    <row r="30" spans="1:6" x14ac:dyDescent="0.25">
      <c r="A30" s="4">
        <v>46022</v>
      </c>
      <c r="B30" s="5" t="s">
        <v>118</v>
      </c>
      <c r="C30" s="5" t="s">
        <v>119</v>
      </c>
      <c r="D30" s="5" t="s">
        <v>258</v>
      </c>
      <c r="E30" s="6">
        <v>1.4762615496865779E-2</v>
      </c>
      <c r="F30" s="5" t="s">
        <v>56</v>
      </c>
    </row>
    <row r="31" spans="1:6" x14ac:dyDescent="0.25">
      <c r="A31" s="4">
        <v>46022</v>
      </c>
      <c r="B31" s="5" t="s">
        <v>121</v>
      </c>
      <c r="C31" s="5" t="s">
        <v>122</v>
      </c>
      <c r="D31" s="5" t="s">
        <v>214</v>
      </c>
      <c r="E31" s="6">
        <v>1.3991618181570653E-2</v>
      </c>
      <c r="F31" s="5" t="s">
        <v>80</v>
      </c>
    </row>
    <row r="32" spans="1:6" x14ac:dyDescent="0.25">
      <c r="A32" s="4">
        <v>46022</v>
      </c>
      <c r="B32" s="5" t="s">
        <v>88</v>
      </c>
      <c r="C32" s="5" t="s">
        <v>89</v>
      </c>
      <c r="D32" s="5" t="s">
        <v>105</v>
      </c>
      <c r="E32" s="6">
        <v>1.3985922291794992E-2</v>
      </c>
      <c r="F32" s="5" t="s">
        <v>33</v>
      </c>
    </row>
    <row r="33" spans="1:6" x14ac:dyDescent="0.25">
      <c r="A33" s="4">
        <v>46022</v>
      </c>
      <c r="B33" s="5" t="s">
        <v>253</v>
      </c>
      <c r="C33" s="5" t="s">
        <v>254</v>
      </c>
      <c r="D33" s="5" t="s">
        <v>123</v>
      </c>
      <c r="E33" s="6">
        <v>1.3862497386141525E-2</v>
      </c>
      <c r="F33" s="5" t="s">
        <v>10</v>
      </c>
    </row>
    <row r="34" spans="1:6" x14ac:dyDescent="0.25">
      <c r="A34" s="4">
        <v>46022</v>
      </c>
      <c r="B34" s="5" t="s">
        <v>43</v>
      </c>
      <c r="C34" s="5" t="s">
        <v>44</v>
      </c>
      <c r="D34" s="5" t="s">
        <v>217</v>
      </c>
      <c r="E34" s="6">
        <v>1.3681862293476638E-2</v>
      </c>
      <c r="F34" s="5" t="s">
        <v>144</v>
      </c>
    </row>
    <row r="35" spans="1:6" x14ac:dyDescent="0.25">
      <c r="A35" s="4">
        <v>46022</v>
      </c>
      <c r="B35" s="5" t="s">
        <v>326</v>
      </c>
      <c r="C35" s="5" t="s">
        <v>327</v>
      </c>
      <c r="D35" s="5" t="s">
        <v>45</v>
      </c>
      <c r="E35" s="6">
        <v>1.3525350969273374E-2</v>
      </c>
      <c r="F35" s="5" t="s">
        <v>46</v>
      </c>
    </row>
    <row r="36" spans="1:6" x14ac:dyDescent="0.25">
      <c r="A36" s="4">
        <v>46022</v>
      </c>
      <c r="B36" s="5" t="s">
        <v>215</v>
      </c>
      <c r="C36" s="5" t="s">
        <v>216</v>
      </c>
      <c r="D36" s="5" t="s">
        <v>120</v>
      </c>
      <c r="E36" s="6">
        <v>1.34459016832114E-2</v>
      </c>
      <c r="F36" s="5" t="s">
        <v>80</v>
      </c>
    </row>
    <row r="37" spans="1:6" x14ac:dyDescent="0.25">
      <c r="A37" s="4">
        <v>46022</v>
      </c>
      <c r="B37" s="5" t="s">
        <v>151</v>
      </c>
      <c r="C37" s="5" t="s">
        <v>152</v>
      </c>
      <c r="D37" s="5" t="s">
        <v>255</v>
      </c>
      <c r="E37" s="6">
        <v>1.3013432875685873E-2</v>
      </c>
      <c r="F37" s="5" t="s">
        <v>42</v>
      </c>
    </row>
    <row r="38" spans="1:6" x14ac:dyDescent="0.25">
      <c r="A38" s="4">
        <v>46022</v>
      </c>
      <c r="B38" s="5" t="s">
        <v>256</v>
      </c>
      <c r="C38" s="5" t="s">
        <v>257</v>
      </c>
      <c r="D38" s="5" t="s">
        <v>90</v>
      </c>
      <c r="E38" s="6">
        <v>1.271104813906624E-2</v>
      </c>
      <c r="F38" s="5" t="s">
        <v>35</v>
      </c>
    </row>
    <row r="39" spans="1:6" x14ac:dyDescent="0.25">
      <c r="A39" s="4">
        <v>46022</v>
      </c>
      <c r="B39" s="5" t="s">
        <v>68</v>
      </c>
      <c r="C39" s="5" t="s">
        <v>69</v>
      </c>
      <c r="D39" s="5" t="s">
        <v>70</v>
      </c>
      <c r="E39" s="6">
        <v>1.075266721325821E-2</v>
      </c>
      <c r="F39" s="5" t="s">
        <v>35</v>
      </c>
    </row>
    <row r="40" spans="1:6" x14ac:dyDescent="0.25">
      <c r="A40" s="4">
        <v>46022</v>
      </c>
      <c r="B40" s="5" t="s">
        <v>206</v>
      </c>
      <c r="C40" s="5" t="s">
        <v>207</v>
      </c>
      <c r="D40" s="5" t="s">
        <v>208</v>
      </c>
      <c r="E40" s="6">
        <v>1.0138482769272117E-2</v>
      </c>
      <c r="F40" s="5" t="s">
        <v>35</v>
      </c>
    </row>
    <row r="41" spans="1:6" x14ac:dyDescent="0.25">
      <c r="A41" s="4">
        <v>46022</v>
      </c>
      <c r="B41" s="5" t="s">
        <v>236</v>
      </c>
      <c r="C41" s="5" t="s">
        <v>237</v>
      </c>
      <c r="D41" s="5" t="s">
        <v>238</v>
      </c>
      <c r="E41" s="6">
        <v>8.4555483719682412E-3</v>
      </c>
      <c r="F41" s="5" t="s">
        <v>46</v>
      </c>
    </row>
    <row r="42" spans="1:6" x14ac:dyDescent="0.25">
      <c r="A42" s="4">
        <v>46022</v>
      </c>
      <c r="B42" s="5" t="s">
        <v>74</v>
      </c>
      <c r="C42" s="5" t="s">
        <v>75</v>
      </c>
      <c r="D42" s="5" t="s">
        <v>76</v>
      </c>
      <c r="E42" s="6">
        <v>8.2062694311981522E-3</v>
      </c>
      <c r="F42" s="5" t="s">
        <v>33</v>
      </c>
    </row>
    <row r="43" spans="1:6" x14ac:dyDescent="0.25">
      <c r="A43" s="4">
        <v>46022</v>
      </c>
      <c r="B43" s="5" t="s">
        <v>133</v>
      </c>
      <c r="C43" s="5" t="s">
        <v>133</v>
      </c>
      <c r="D43" s="5" t="s">
        <v>133</v>
      </c>
      <c r="E43" s="6">
        <v>4.6482621081819886E-2</v>
      </c>
      <c r="F43" s="5" t="s">
        <v>133</v>
      </c>
    </row>
  </sheetData>
  <autoFilter ref="A2:F43" xr:uid="{2F826DFF-C03A-4654-8793-6802043D698D}"/>
  <mergeCells count="8">
    <mergeCell ref="A1:F1"/>
    <mergeCell ref="L9:M9"/>
    <mergeCell ref="L11:M11"/>
    <mergeCell ref="M1:N1"/>
    <mergeCell ref="H14:J14"/>
    <mergeCell ref="L7:N7"/>
    <mergeCell ref="L10:N10"/>
    <mergeCell ref="L12:N12"/>
  </mergeCells>
  <conditionalFormatting sqref="B1:B1048576">
    <cfRule type="duplicateValues" dxfId="1" priority="2"/>
  </conditionalFormatting>
  <conditionalFormatting sqref="D1:D1048576">
    <cfRule type="duplicateValues" dxfId="0" priority="1"/>
  </conditionalFormatting>
  <hyperlinks>
    <hyperlink ref="M1:N1" location="Index!A1" display="Back to Index" xr:uid="{4BC5068A-54C8-4444-9247-6818D8EDF43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5C08-5F00-4F3D-BB68-755F66EFD5B9}">
  <dimension ref="A1:N17"/>
  <sheetViews>
    <sheetView workbookViewId="0">
      <pane ySplit="2" topLeftCell="A3" activePane="bottomLeft" state="frozen"/>
      <selection activeCell="M1" sqref="M1:N1"/>
      <selection pane="bottomLeft" sqref="A1:F1"/>
    </sheetView>
  </sheetViews>
  <sheetFormatPr defaultRowHeight="13.5" x14ac:dyDescent="0.25"/>
  <cols>
    <col min="1" max="1" width="9.7109375" style="1" bestFit="1" customWidth="1"/>
    <col min="2" max="2" width="30" style="1" customWidth="1"/>
    <col min="3" max="3" width="17.7109375" style="1" customWidth="1"/>
    <col min="4" max="4" width="13.85546875" style="1" bestFit="1" customWidth="1"/>
    <col min="5" max="5" width="7.5703125" style="1" bestFit="1" customWidth="1"/>
    <col min="6" max="6" width="23.140625" style="1" bestFit="1" customWidth="1"/>
    <col min="7" max="7" width="4.28515625" style="1" customWidth="1"/>
    <col min="8" max="8" width="17" style="1" bestFit="1" customWidth="1"/>
    <col min="9" max="9" width="14" style="1" customWidth="1"/>
    <col min="10" max="10" width="9.140625" style="1"/>
    <col min="11" max="11" width="3.140625" style="1" customWidth="1"/>
    <col min="12" max="12" width="12.140625" style="1" customWidth="1"/>
    <col min="13" max="13" width="14.140625" style="1" customWidth="1"/>
    <col min="14" max="16384" width="9.140625" style="1"/>
  </cols>
  <sheetData>
    <row r="1" spans="1:14" ht="15" x14ac:dyDescent="0.25">
      <c r="A1" s="47" t="s">
        <v>316</v>
      </c>
      <c r="B1" s="47"/>
      <c r="C1" s="47"/>
      <c r="D1" s="47"/>
      <c r="E1" s="47"/>
      <c r="F1" s="47"/>
      <c r="M1" s="49" t="s">
        <v>262</v>
      </c>
      <c r="N1" s="49"/>
    </row>
    <row r="2" spans="1:14" ht="38.25" x14ac:dyDescent="0.25">
      <c r="A2" s="2" t="s">
        <v>1</v>
      </c>
      <c r="B2" s="2" t="s">
        <v>2</v>
      </c>
      <c r="C2" s="2" t="s">
        <v>3</v>
      </c>
      <c r="D2" s="2" t="s">
        <v>4</v>
      </c>
      <c r="E2" s="2" t="s">
        <v>5</v>
      </c>
      <c r="F2" s="2" t="s">
        <v>6</v>
      </c>
      <c r="H2" s="3" t="s">
        <v>135</v>
      </c>
      <c r="I2" s="3" t="s">
        <v>243</v>
      </c>
      <c r="J2" s="3" t="s">
        <v>136</v>
      </c>
      <c r="L2" s="3" t="s">
        <v>137</v>
      </c>
      <c r="M2" s="3" t="s">
        <v>243</v>
      </c>
      <c r="N2" s="3" t="s">
        <v>136</v>
      </c>
    </row>
    <row r="3" spans="1:14" x14ac:dyDescent="0.25">
      <c r="A3" s="4">
        <v>46053</v>
      </c>
      <c r="B3" s="5" t="s">
        <v>28</v>
      </c>
      <c r="C3" s="5" t="s">
        <v>29</v>
      </c>
      <c r="D3" s="5" t="s">
        <v>348</v>
      </c>
      <c r="E3" s="6">
        <v>9.6025144861001444E-2</v>
      </c>
      <c r="F3" s="5" t="s">
        <v>21</v>
      </c>
      <c r="H3" s="7" t="s">
        <v>138</v>
      </c>
      <c r="I3" s="8">
        <v>0</v>
      </c>
      <c r="J3" s="8">
        <v>0.11427761999999995</v>
      </c>
      <c r="L3" s="7" t="s">
        <v>139</v>
      </c>
      <c r="M3" s="8">
        <v>0.3682726000519948</v>
      </c>
      <c r="N3" s="8">
        <v>0.7158501500000003</v>
      </c>
    </row>
    <row r="4" spans="1:14" x14ac:dyDescent="0.25">
      <c r="A4" s="4">
        <v>46053</v>
      </c>
      <c r="B4" s="5" t="s">
        <v>11</v>
      </c>
      <c r="C4" s="5" t="s">
        <v>12</v>
      </c>
      <c r="D4" s="5" t="s">
        <v>13</v>
      </c>
      <c r="E4" s="6">
        <v>9.3577354089339385E-2</v>
      </c>
      <c r="F4" s="5" t="s">
        <v>10</v>
      </c>
      <c r="H4" s="7" t="s">
        <v>140</v>
      </c>
      <c r="I4" s="8">
        <v>8.2981104289675839E-2</v>
      </c>
      <c r="J4" s="8">
        <v>8.7656849999999994E-2</v>
      </c>
      <c r="L4" s="7" t="s">
        <v>141</v>
      </c>
      <c r="M4" s="8">
        <v>0.14252046511282912</v>
      </c>
      <c r="N4" s="8">
        <v>0.18515037000000001</v>
      </c>
    </row>
    <row r="5" spans="1:14" x14ac:dyDescent="0.25">
      <c r="A5" s="4">
        <v>46053</v>
      </c>
      <c r="B5" s="5" t="s">
        <v>236</v>
      </c>
      <c r="C5" s="5" t="s">
        <v>237</v>
      </c>
      <c r="D5" s="5" t="s">
        <v>238</v>
      </c>
      <c r="E5" s="6">
        <v>7.4726278136067997E-2</v>
      </c>
      <c r="F5" s="5" t="s">
        <v>46</v>
      </c>
      <c r="H5" s="7" t="s">
        <v>10</v>
      </c>
      <c r="I5" s="8">
        <v>0.30312182858959075</v>
      </c>
      <c r="J5" s="8">
        <v>0.31055860000000002</v>
      </c>
      <c r="L5" s="7" t="s">
        <v>142</v>
      </c>
      <c r="M5" s="8">
        <v>0.41074561762635808</v>
      </c>
      <c r="N5" s="8">
        <v>9.8999510000000054E-2</v>
      </c>
    </row>
    <row r="6" spans="1:14" x14ac:dyDescent="0.25">
      <c r="A6" s="4">
        <v>46053</v>
      </c>
      <c r="B6" s="5" t="s">
        <v>149</v>
      </c>
      <c r="C6" s="5" t="s">
        <v>150</v>
      </c>
      <c r="D6" s="5" t="s">
        <v>362</v>
      </c>
      <c r="E6" s="6">
        <v>7.4497098255648153E-2</v>
      </c>
      <c r="F6" s="5" t="s">
        <v>46</v>
      </c>
      <c r="H6" s="7" t="s">
        <v>46</v>
      </c>
      <c r="I6" s="8">
        <v>0.24796765069982693</v>
      </c>
      <c r="J6" s="8">
        <v>0.11089299000000002</v>
      </c>
      <c r="L6" s="7" t="s">
        <v>133</v>
      </c>
      <c r="M6" s="9">
        <v>7.8461317208818313E-2</v>
      </c>
      <c r="N6" s="9">
        <v>0</v>
      </c>
    </row>
    <row r="7" spans="1:14" x14ac:dyDescent="0.25">
      <c r="A7" s="4">
        <v>46053</v>
      </c>
      <c r="B7" s="5" t="s">
        <v>18</v>
      </c>
      <c r="C7" s="5" t="s">
        <v>19</v>
      </c>
      <c r="D7" s="5" t="s">
        <v>20</v>
      </c>
      <c r="E7" s="6">
        <v>7.3642630396390657E-2</v>
      </c>
      <c r="F7" s="5" t="s">
        <v>21</v>
      </c>
      <c r="H7" s="7" t="s">
        <v>80</v>
      </c>
      <c r="I7" s="8">
        <v>0</v>
      </c>
      <c r="J7" s="8">
        <v>9.4425240000000077E-2</v>
      </c>
      <c r="L7" s="50" t="s">
        <v>372</v>
      </c>
      <c r="M7" s="50"/>
      <c r="N7" s="50"/>
    </row>
    <row r="8" spans="1:14" x14ac:dyDescent="0.25">
      <c r="A8" s="4">
        <v>46053</v>
      </c>
      <c r="B8" s="5" t="s">
        <v>333</v>
      </c>
      <c r="C8" s="5" t="s">
        <v>334</v>
      </c>
      <c r="D8" s="5" t="s">
        <v>335</v>
      </c>
      <c r="E8" s="6">
        <v>7.1655480616943767E-2</v>
      </c>
      <c r="F8" s="5" t="s">
        <v>10</v>
      </c>
      <c r="H8" s="7" t="s">
        <v>42</v>
      </c>
      <c r="I8" s="8">
        <v>0</v>
      </c>
      <c r="J8" s="8">
        <v>7.3570860000000002E-2</v>
      </c>
    </row>
    <row r="9" spans="1:14" x14ac:dyDescent="0.25">
      <c r="A9" s="4">
        <v>46053</v>
      </c>
      <c r="B9" s="5" t="s">
        <v>7</v>
      </c>
      <c r="C9" s="5" t="s">
        <v>8</v>
      </c>
      <c r="D9" s="5" t="s">
        <v>9</v>
      </c>
      <c r="E9" s="6">
        <v>6.8988206974016628E-2</v>
      </c>
      <c r="F9" s="5" t="s">
        <v>10</v>
      </c>
      <c r="H9" s="7" t="s">
        <v>87</v>
      </c>
      <c r="I9" s="8">
        <v>0</v>
      </c>
      <c r="J9" s="8">
        <v>3.5213910000000001E-2</v>
      </c>
      <c r="L9" s="48" t="s">
        <v>242</v>
      </c>
      <c r="M9" s="48"/>
      <c r="N9" s="10">
        <v>343206.07743602846</v>
      </c>
    </row>
    <row r="10" spans="1:14" x14ac:dyDescent="0.25">
      <c r="A10" s="4">
        <v>46053</v>
      </c>
      <c r="B10" s="5" t="s">
        <v>22</v>
      </c>
      <c r="C10" s="5" t="s">
        <v>23</v>
      </c>
      <c r="D10" s="5" t="s">
        <v>24</v>
      </c>
      <c r="E10" s="6">
        <v>6.8900786909290981E-2</v>
      </c>
      <c r="F10" s="5" t="s">
        <v>10</v>
      </c>
      <c r="H10" s="7" t="s">
        <v>56</v>
      </c>
      <c r="I10" s="8">
        <v>5.463670227173921E-2</v>
      </c>
      <c r="J10" s="8">
        <v>6.1354979999999983E-2</v>
      </c>
      <c r="L10" s="50" t="s">
        <v>372</v>
      </c>
      <c r="M10" s="50"/>
      <c r="N10" s="50"/>
    </row>
    <row r="11" spans="1:14" x14ac:dyDescent="0.25">
      <c r="A11" s="4">
        <v>46053</v>
      </c>
      <c r="B11" s="5" t="s">
        <v>30</v>
      </c>
      <c r="C11" s="5" t="s">
        <v>31</v>
      </c>
      <c r="D11" s="5" t="s">
        <v>32</v>
      </c>
      <c r="E11" s="6">
        <v>6.3163621682957125E-2</v>
      </c>
      <c r="F11" s="5" t="s">
        <v>33</v>
      </c>
      <c r="H11" s="7" t="s">
        <v>33</v>
      </c>
      <c r="I11" s="8">
        <v>6.3163621682957125E-2</v>
      </c>
      <c r="J11" s="8">
        <v>6.2283560000000009E-2</v>
      </c>
      <c r="L11" s="48" t="s">
        <v>134</v>
      </c>
      <c r="M11" s="48"/>
      <c r="N11" s="10">
        <v>59062.095285700001</v>
      </c>
    </row>
    <row r="12" spans="1:14" x14ac:dyDescent="0.25">
      <c r="A12" s="4">
        <v>46053</v>
      </c>
      <c r="B12" s="5" t="s">
        <v>191</v>
      </c>
      <c r="C12" s="5" t="s">
        <v>192</v>
      </c>
      <c r="D12" s="5" t="s">
        <v>193</v>
      </c>
      <c r="E12" s="6">
        <v>5.463670227173921E-2</v>
      </c>
      <c r="F12" s="5" t="s">
        <v>56</v>
      </c>
      <c r="H12" s="7" t="s">
        <v>143</v>
      </c>
      <c r="I12" s="8">
        <v>0.1696677752573921</v>
      </c>
      <c r="J12" s="8">
        <v>3.9581239999999997E-2</v>
      </c>
      <c r="L12" s="50" t="s">
        <v>372</v>
      </c>
      <c r="M12" s="50"/>
      <c r="N12" s="50"/>
    </row>
    <row r="13" spans="1:14" x14ac:dyDescent="0.25">
      <c r="A13" s="4">
        <v>46053</v>
      </c>
      <c r="B13" s="5" t="s">
        <v>106</v>
      </c>
      <c r="C13" s="5" t="s">
        <v>107</v>
      </c>
      <c r="D13" s="5" t="s">
        <v>108</v>
      </c>
      <c r="E13" s="6">
        <v>5.3007883399131851E-2</v>
      </c>
      <c r="F13" s="5" t="s">
        <v>46</v>
      </c>
      <c r="H13" s="7" t="s">
        <v>144</v>
      </c>
      <c r="I13" s="8">
        <v>0</v>
      </c>
      <c r="J13" s="8">
        <v>1.0184179999999998E-2</v>
      </c>
    </row>
    <row r="14" spans="1:14" x14ac:dyDescent="0.25">
      <c r="A14" s="4">
        <v>46053</v>
      </c>
      <c r="B14" s="5" t="s">
        <v>62</v>
      </c>
      <c r="C14" s="5" t="s">
        <v>63</v>
      </c>
      <c r="D14" s="5" t="s">
        <v>64</v>
      </c>
      <c r="E14" s="6">
        <v>4.6495320251827663E-2</v>
      </c>
      <c r="F14" s="5" t="s">
        <v>17</v>
      </c>
      <c r="H14" s="50" t="s">
        <v>372</v>
      </c>
      <c r="I14" s="50"/>
      <c r="J14" s="50"/>
    </row>
    <row r="15" spans="1:14" x14ac:dyDescent="0.25">
      <c r="A15" s="4">
        <v>46053</v>
      </c>
      <c r="B15" s="5" t="s">
        <v>373</v>
      </c>
      <c r="C15" s="5" t="s">
        <v>374</v>
      </c>
      <c r="D15" s="5" t="s">
        <v>375</v>
      </c>
      <c r="E15" s="6">
        <v>4.5736390908978936E-2</v>
      </c>
      <c r="F15" s="5" t="s">
        <v>46</v>
      </c>
    </row>
    <row r="16" spans="1:14" x14ac:dyDescent="0.25">
      <c r="A16" s="4">
        <v>46053</v>
      </c>
      <c r="B16" s="5" t="s">
        <v>127</v>
      </c>
      <c r="C16" s="5" t="s">
        <v>128</v>
      </c>
      <c r="D16" s="5" t="s">
        <v>129</v>
      </c>
      <c r="E16" s="6">
        <v>3.6485784037848169E-2</v>
      </c>
      <c r="F16" s="5" t="s">
        <v>17</v>
      </c>
    </row>
    <row r="17" spans="1:6" x14ac:dyDescent="0.25">
      <c r="A17" s="4">
        <v>46053</v>
      </c>
      <c r="B17" s="5" t="s">
        <v>133</v>
      </c>
      <c r="C17" s="5" t="s">
        <v>133</v>
      </c>
      <c r="D17" s="5" t="s">
        <v>133</v>
      </c>
      <c r="E17" s="6">
        <v>7.8461317208818313E-2</v>
      </c>
      <c r="F17" s="5" t="s">
        <v>133</v>
      </c>
    </row>
  </sheetData>
  <autoFilter ref="A2:F17" xr:uid="{C9005C08-5F00-4F3D-BB68-755F66EFD5B9}"/>
  <mergeCells count="8">
    <mergeCell ref="A1:F1"/>
    <mergeCell ref="L9:M9"/>
    <mergeCell ref="L11:M11"/>
    <mergeCell ref="M1:N1"/>
    <mergeCell ref="H14:J14"/>
    <mergeCell ref="L7:N7"/>
    <mergeCell ref="L10:N10"/>
    <mergeCell ref="L12:N12"/>
  </mergeCells>
  <hyperlinks>
    <hyperlink ref="M1:N1" location="Index!A1" display="Back to Index" xr:uid="{D9254079-4DF8-401E-8636-DE395CD4EC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PMS Returns</vt:lpstr>
      <vt:lpstr>PMS NAV</vt:lpstr>
      <vt:lpstr>Business Leaders</vt:lpstr>
      <vt:lpstr>Digital Leaders</vt:lpstr>
      <vt:lpstr>Pioneers Equity</vt:lpstr>
      <vt:lpstr>Research Select</vt:lpstr>
      <vt:lpstr>Select Equity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Shankarlingam</dc:creator>
  <cp:lastModifiedBy>James Shankarlingam</cp:lastModifiedBy>
  <dcterms:created xsi:type="dcterms:W3CDTF">2025-04-08T11:29:25Z</dcterms:created>
  <dcterms:modified xsi:type="dcterms:W3CDTF">2026-02-10T09:43:42Z</dcterms:modified>
</cp:coreProperties>
</file>